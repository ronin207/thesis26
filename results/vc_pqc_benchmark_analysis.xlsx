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2 Aurora Raw" sheetId="1" state="visible" r:id="rId3"/>
    <sheet name="PP3 Aurora Raw" sheetId="2" state="visible" r:id="rId4"/>
    <sheet name="Summary Statistics" sheetId="3" state="visible" r:id="rId5"/>
    <sheet name="Architecture Comparison" sheetId="4" state="visible" r:id="rId6"/>
    <sheet name="Charts" sheetId="5" state="visible" r:id="rId7"/>
    <sheet name="PP2 Phase Breakdown" sheetId="6" state="visible" r:id="rId8"/>
    <sheet name="zkVM Reference (No Data)" sheetId="7" state="visible" r:id="rId9"/>
    <sheet name="Missing &amp; Recommenda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<sst xmlns="http://schemas.openxmlformats.org/spreadsheetml/2006/main" count="278" uniqueCount="184">
  <si>
    <t xml:space="preserve">PP2 (ShowCre) Aurora Benchmark — Raw Data</t>
  </si>
  <si>
    <t xml:space="preserve">Architecture: Noir + Aurora static R1CS circuit path</t>
  </si>
  <si>
    <t xml:space="preserve">k</t>
  </si>
  <si>
    <t xml:space="preserve">lr_size</t>
  </si>
  <si>
    <t xml:space="preserve">rev_depth</t>
  </si>
  <si>
    <t xml:space="preserve">exec_only</t>
  </si>
  <si>
    <t xml:space="preserve">constraints</t>
  </si>
  <si>
    <t xml:space="preserve">t_I (s)</t>
  </si>
  <si>
    <t xml:space="preserve">t_P (s)</t>
  </si>
  <si>
    <t xml:space="preserve">t_V (s)</t>
  </si>
  <si>
    <t xml:space="preserve">inst_rebuild (s)</t>
  </si>
  <si>
    <t xml:space="preserve">proof_verify (s)</t>
  </si>
  <si>
    <t xml:space="preserve">proof (bytes)</t>
  </si>
  <si>
    <t xml:space="preserve">sig (bytes)</t>
  </si>
  <si>
    <t xml:space="preserve">setup</t>
  </si>
  <si>
    <t xml:space="preserve">prigen</t>
  </si>
  <si>
    <t xml:space="preserve">populate_revocation</t>
  </si>
  <si>
    <t xml:space="preserve">indexer</t>
  </si>
  <si>
    <t xml:space="preserve">prove</t>
  </si>
  <si>
    <t xml:space="preserve">instance_rebuild</t>
  </si>
  <si>
    <t xml:space="preserve">proof_verify</t>
  </si>
  <si>
    <t xml:space="preserve">verify</t>
  </si>
  <si>
    <t xml:space="preserve">False</t>
  </si>
  <si>
    <t xml:space="preserve">PP3 (Policy-Bound) Aurora Benchmark — Raw Data</t>
  </si>
  <si>
    <t xml:space="preserve">Architecture: Noir + Aurora with policy predicates (GPA min, degree set)</t>
  </si>
  <si>
    <t xml:space="preserve">label</t>
  </si>
  <si>
    <t xml:space="preserve">policy_v1</t>
  </si>
  <si>
    <t xml:space="preserve">policy_v2</t>
  </si>
  <si>
    <t xml:space="preserve">Benchmark Summary Statistics</t>
  </si>
  <si>
    <t xml:space="preserve">PP2 (ShowCre) Aurora — Static Circuit Path</t>
  </si>
  <si>
    <t xml:space="preserve">Metric</t>
  </si>
  <si>
    <t xml:space="preserve">Value</t>
  </si>
  <si>
    <t xml:space="preserve">Unit</t>
  </si>
  <si>
    <t xml:space="preserve">Credential Count (k)</t>
  </si>
  <si>
    <t xml:space="preserve">Constraint Count</t>
  </si>
  <si>
    <t xml:space="preserve">R1CS constraints</t>
  </si>
  <si>
    <t xml:space="preserve">Indexer Time (t_I)</t>
  </si>
  <si>
    <t xml:space="preserve">seconds</t>
  </si>
  <si>
    <t xml:space="preserve">Prover Time (t_P)</t>
  </si>
  <si>
    <t xml:space="preserve">Verifier Time (t_V)</t>
  </si>
  <si>
    <t xml:space="preserve">Instance Rebuild</t>
  </si>
  <si>
    <t xml:space="preserve">Proof Verification</t>
  </si>
  <si>
    <t xml:space="preserve">Proof Size</t>
  </si>
  <si>
    <t xml:space="preserve">bytes</t>
  </si>
  <si>
    <t xml:space="preserve">Proof Size (MB)</t>
  </si>
  <si>
    <t xml:space="preserve">MB</t>
  </si>
  <si>
    <t xml:space="preserve">Signature Size</t>
  </si>
  <si>
    <t xml:space="preserve">Signature Size (KB)</t>
  </si>
  <si>
    <t xml:space="preserve">KB</t>
  </si>
  <si>
    <t xml:space="preserve">Total End-to-End Time</t>
  </si>
  <si>
    <t xml:space="preserve">Revocation Depth</t>
  </si>
  <si>
    <t xml:space="preserve">levels</t>
  </si>
  <si>
    <t xml:space="preserve">PP3 (Policy-Bound) Aurora — Policy Predicate Path</t>
  </si>
  <si>
    <t xml:space="preserve">Label</t>
  </si>
  <si>
    <t xml:space="preserve">Constraints</t>
  </si>
  <si>
    <t xml:space="preserve">proof (MB)</t>
  </si>
  <si>
    <t xml:space="preserve">AVERAGE</t>
  </si>
  <si>
    <t xml:space="preserve">STD DEV</t>
  </si>
  <si>
    <t xml:space="preserve">MIN</t>
  </si>
  <si>
    <t xml:space="preserve">MAX</t>
  </si>
  <si>
    <t xml:space="preserve">PP2 vs PP3: Architecture Comparison &amp; Agility Tax</t>
  </si>
  <si>
    <t xml:space="preserve">Both paths use Loquat post-quantum signatures over Aurora R1CS SNARK</t>
  </si>
  <si>
    <t xml:space="preserve">PP2 (ShowCre)</t>
  </si>
  <si>
    <t xml:space="preserve">PP3 (policy_v1)</t>
  </si>
  <si>
    <t xml:space="preserve">PP3 (policy_v2)</t>
  </si>
  <si>
    <t xml:space="preserve">PP3 Avg</t>
  </si>
  <si>
    <t xml:space="preserve">Δ (PP3 Avg − PP2)</t>
  </si>
  <si>
    <t xml:space="preserve">Agility Tax (%)</t>
  </si>
  <si>
    <t xml:space="preserve">Indexer Time (s)</t>
  </si>
  <si>
    <t xml:space="preserve">Prover Time (s)</t>
  </si>
  <si>
    <t xml:space="preserve">Verifier Time (s)</t>
  </si>
  <si>
    <t xml:space="preserve">Instance Rebuild (s)</t>
  </si>
  <si>
    <t xml:space="preserve">Proof Verification (s)</t>
  </si>
  <si>
    <t xml:space="preserve">Proof Size (bytes)</t>
  </si>
  <si>
    <t xml:space="preserve">Signature Size (bytes)</t>
  </si>
  <si>
    <t xml:space="preserve">Total End-to-End (s)</t>
  </si>
  <si>
    <t xml:space="preserve">Proof Size Comparison (Human-Readable)</t>
  </si>
  <si>
    <t xml:space="preserve">PP2</t>
  </si>
  <si>
    <t xml:space="preserve">PP3 (v1)</t>
  </si>
  <si>
    <t xml:space="preserve">PP3 (v2)</t>
  </si>
  <si>
    <t xml:space="preserve">Proof Size (KB)</t>
  </si>
  <si>
    <t xml:space="preserve">Performance Visualizations</t>
  </si>
  <si>
    <t xml:space="preserve">Phase</t>
  </si>
  <si>
    <t xml:space="preserve">Indexer (t_I)</t>
  </si>
  <si>
    <t xml:space="preserve">Proof (MB)</t>
  </si>
  <si>
    <t xml:space="preserve">Prover (t_P)</t>
  </si>
  <si>
    <t xml:space="preserve">Signature (KB)</t>
  </si>
  <si>
    <t xml:space="preserve">Verifier (t_V)</t>
  </si>
  <si>
    <t xml:space="preserve">Proof Verify</t>
  </si>
  <si>
    <t xml:space="preserve">Architecture</t>
  </si>
  <si>
    <t xml:space="preserve">Indexer (s)</t>
  </si>
  <si>
    <t xml:space="preserve">Prover (s)</t>
  </si>
  <si>
    <t xml:space="preserve">Verifier (s)</t>
  </si>
  <si>
    <t xml:space="preserve">PP2 Aurora — Detailed Phase Timing</t>
  </si>
  <si>
    <t xml:space="preserve">Duration (s)</t>
  </si>
  <si>
    <t xml:space="preserve">% of Total</t>
  </si>
  <si>
    <t xml:space="preserve">TOTAL</t>
  </si>
  <si>
    <t xml:space="preserve">RISC Zero zkVM Path — Benchmark Structure (No Data Collected Yet)</t>
  </si>
  <si>
    <t xml:space="preserve">The zkVM host code (pp2_showver.rs) defines a sweep over (k, s, m) but no results files were found</t>
  </si>
  <si>
    <t xml:space="preserve">Expected Metrics from zkVM Benchmark:</t>
  </si>
  <si>
    <t xml:space="preserve">Field</t>
  </si>
  <si>
    <t xml:space="preserve">Description</t>
  </si>
  <si>
    <t xml:space="preserve">Expected Values</t>
  </si>
  <si>
    <t xml:space="preserve">Number of credentials</t>
  </si>
  <si>
    <t xml:space="preserve">[1, 2, 6, 14, 30]</t>
  </si>
  <si>
    <t xml:space="preserve">s</t>
  </si>
  <si>
    <t xml:space="preserve">Number of disclosed attributes</t>
  </si>
  <si>
    <t xml:space="preserve">[1, 3, 10]</t>
  </si>
  <si>
    <t xml:space="preserve">m</t>
  </si>
  <si>
    <t xml:space="preserve">Total attributes per credential (Merkle leaves)</t>
  </si>
  <si>
    <t xml:space="preserve">[16, 64, 256]</t>
  </si>
  <si>
    <t xml:space="preserve">trace_cycles</t>
  </si>
  <si>
    <t xml:space="preserve">RISC-V execution trace length (cycles)</t>
  </si>
  <si>
    <t xml:space="preserve">prove_ms</t>
  </si>
  <si>
    <t xml:space="preserve">STARK proving time (milliseconds)</t>
  </si>
  <si>
    <t xml:space="preserve">verify_ms</t>
  </si>
  <si>
    <t xml:space="preserve">STARK verification time (milliseconds)</t>
  </si>
  <si>
    <t xml:space="preserve">receipt_bytes</t>
  </si>
  <si>
    <t xml:space="preserve">Succinct STARK receipt size (bytes)</t>
  </si>
  <si>
    <t xml:space="preserve">loquat_verifies</t>
  </si>
  <si>
    <t xml:space="preserve">Number of Loquat signature verifications in guest</t>
  </si>
  <si>
    <t xml:space="preserve">hash_calls</t>
  </si>
  <si>
    <t xml:space="preserve">Number of hash function calls in guest</t>
  </si>
  <si>
    <t xml:space="preserve">merkle_nodes</t>
  </si>
  <si>
    <t xml:space="preserve">Number of Merkle tree nodes traversed</t>
  </si>
  <si>
    <t xml:space="preserve">Planned Full Sweep: 5 × 3 × 3 = 45 combinations</t>
  </si>
  <si>
    <t xml:space="preserve">Gap Analysis: Missing Benchmarks &amp; Recommendations</t>
  </si>
  <si>
    <t xml:space="preserve">Identified gaps in experimental coverage that would strengthen the thesis</t>
  </si>
  <si>
    <t xml:space="preserve">A. RISC Zero zkVM Data (CRITICAL)</t>
  </si>
  <si>
    <t xml:space="preserve">Gap</t>
  </si>
  <si>
    <t xml:space="preserve">Details / Impact</t>
  </si>
  <si>
    <t xml:space="preserve">Priority</t>
  </si>
  <si>
    <t xml:space="preserve">No zkVM benchmark results collected</t>
  </si>
  <si>
    <t xml:space="preserve">The pp2_showver host code is implemented but no results/*.jsonl files exist for zkVM runs</t>
  </si>
  <si>
    <t xml:space="preserve">HIGH</t>
  </si>
  <si>
    <t xml:space="preserve">Missing k/s/m sweep</t>
  </si>
  <si>
    <t xml:space="preserve">The code defines K=[1,2,6,14,30], S=[1,3,10], M=[16,64,256] — 45 planned combinations with zero results</t>
  </si>
  <si>
    <t xml:space="preserve">No prove_ms / verify_ms data</t>
  </si>
  <si>
    <t xml:space="preserve">Cannot compute the "Agility Tax" between static-circuit Aurora and zkVM STARK paths</t>
  </si>
  <si>
    <t xml:space="preserve">No trace_cycles data</t>
  </si>
  <si>
    <t xml:space="preserve">Critical for understanding zkVM overhead vs native R1CS</t>
  </si>
  <si>
    <t xml:space="preserve">B. Statistical Rigor</t>
  </si>
  <si>
    <t xml:space="preserve">Single run per configuration</t>
  </si>
  <si>
    <t xml:space="preserve">PP2 has only 1 data point; PP3 has only 2 (policy_v1, policy_v2). Need ≥5 runs for meaningful statistics</t>
  </si>
  <si>
    <t xml:space="preserve">No warm-up runs recorded</t>
  </si>
  <si>
    <t xml:space="preserve">The benchmark code supports --warmup but no warm-up data was captured</t>
  </si>
  <si>
    <t xml:space="preserve">No confidence intervals</t>
  </si>
  <si>
    <t xml:space="preserve">Cannot compute 95% CI or perform significance testing with n=1</t>
  </si>
  <si>
    <t xml:space="preserve">No variance analysis</t>
  </si>
  <si>
    <t xml:space="preserve">Single-shot runs cannot distinguish signal from noise in timing</t>
  </si>
  <si>
    <t xml:space="preserve">C. Parameter Variations</t>
  </si>
  <si>
    <t xml:space="preserve">Only k=2 tested</t>
  </si>
  <si>
    <t xml:space="preserve">PP2 and PP3 both only run with k=2. The code supports variable k but only one value was benchmarked</t>
  </si>
  <si>
    <t xml:space="preserve">MEDIUM</t>
  </si>
  <si>
    <t xml:space="preserve">No lr_size variation</t>
  </si>
  <si>
    <t xml:space="preserve">Revocation list size is always 0. Need lr_size=[0, 100, 1000, 10000] to measure revocation overhead</t>
  </si>
  <si>
    <t xml:space="preserve">No revocation depth variation</t>
  </si>
  <si>
    <t xml:space="preserve">Always depth=20. Should test depth=[10, 15, 20, 25, 30]</t>
  </si>
  <si>
    <t xml:space="preserve">Only tiny/test params used</t>
  </si>
  <si>
    <t xml:space="preserve">The --tiny flag was used. Full-parameter runs with production-grade security levels are missing</t>
  </si>
  <si>
    <t xml:space="preserve">D. Memory &amp; Resource Profiling</t>
  </si>
  <si>
    <t xml:space="preserve">No peak memory measurements</t>
  </si>
  <si>
    <t xml:space="preserve">Neither RSS nor heap profiling data. Critical for real-world deployment assessment</t>
  </si>
  <si>
    <t xml:space="preserve">LOW</t>
  </si>
  <si>
    <t xml:space="preserve">No CPU utilization data</t>
  </si>
  <si>
    <t xml:space="preserve">No data on single-core vs multi-core behavior (libiop_multicore feature exists)</t>
  </si>
  <si>
    <t xml:space="preserve">No disk I/O profiling</t>
  </si>
  <si>
    <t xml:space="preserve">Proof serialization/deserialization costs unknown</t>
  </si>
  <si>
    <t xml:space="preserve">E. Complexity Scaling</t>
  </si>
  <si>
    <t xml:space="preserve">No attribute count scaling</t>
  </si>
  <si>
    <t xml:space="preserve">Need m=[16, 32, 64, 128, 256] to characterize constraint growth</t>
  </si>
  <si>
    <t xml:space="preserve">No credential count scaling</t>
  </si>
  <si>
    <t xml:space="preserve">Need k=[1, 2, 4, 8, 16, 32] to measure linear/superlinear scaling</t>
  </si>
  <si>
    <t xml:space="preserve">No policy complexity scaling</t>
  </si>
  <si>
    <t xml:space="preserve">Only 2 predicates tested (GPA+degree). Need 1, 2, 4, 8 predicates</t>
  </si>
  <si>
    <t xml:space="preserve">F. Baseline &amp; Cross-System Comparisons</t>
  </si>
  <si>
    <t xml:space="preserve">No non-PQC baseline</t>
  </si>
  <si>
    <t xml:space="preserve">No comparison with classical BBS+/CL signatures or Groth16 SNARK</t>
  </si>
  <si>
    <t xml:space="preserve">No Noir+Aurora compilation time</t>
  </si>
  <si>
    <t xml:space="preserve">Circuit compilation/setup cost not measured</t>
  </si>
  <si>
    <t xml:space="preserve">No network overhead</t>
  </si>
  <si>
    <t xml:space="preserve">Proof transmission time/bandwidth not measured</t>
  </si>
  <si>
    <t xml:space="preserve">No comparison with other PQC schemes</t>
  </si>
  <si>
    <t xml:space="preserve">e.g., lattice-based anonymous credentials for context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</si>
</sst>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0"/>
    <numFmt numFmtId="167" formatCode="#,##0.000000"/>
    <numFmt numFmtId="168" formatCode="0.00\%"/>
    <numFmt numFmtId="169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C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C62828"/>
      <name val="Arial"/>
      <family val="0"/>
      <charset val="1"/>
    </font>
    <font>
      <b val="true"/>
      <sz val="10"/>
      <color rgb="FFFF6D00"/>
      <name val="Arial"/>
      <family val="0"/>
      <charset val="1"/>
    </font>
    <font>
      <b val="true"/>
      <sz val="10"/>
      <color rgb="FF00695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CE4EC"/>
      </patternFill>
    </fill>
    <fill>
      <patternFill patternType="solid">
        <fgColor rgb="FFE8F5E9"/>
        <bgColor rgb="FFF9F9F9"/>
      </patternFill>
    </fill>
    <fill>
      <patternFill patternType="solid">
        <fgColor rgb="FFFCE4EC"/>
        <bgColor rgb="FFFFF2CC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B0BEC5"/>
      <rgbColor rgb="FF878787"/>
      <rgbColor rgb="FF9999FF"/>
      <rgbColor rgb="FF7030A0"/>
      <rgbColor rgb="FFFFF2CC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6E4F0"/>
      <rgbColor rgb="FFF9F9F9"/>
      <rgbColor rgb="FFFFFF99"/>
      <rgbColor rgb="FF9DC3E6"/>
      <rgbColor rgb="FFFF99CC"/>
      <rgbColor rgb="FFCC99FF"/>
      <rgbColor rgb="FFFCE4EC"/>
      <rgbColor rgb="FF2E75B6"/>
      <rgbColor rgb="FF33CCCC"/>
      <rgbColor rgb="FF99CC00"/>
      <rgbColor rgb="FFFFC000"/>
      <rgbColor rgb="FFFF9900"/>
      <rgbColor rgb="FFFF6D00"/>
      <rgbColor rgb="FF666666"/>
      <rgbColor rgb="FF4F81BD"/>
      <rgbColor rgb="FF003366"/>
      <rgbColor rgb="FF00B050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Timing Comparison: PP2 vs PP3 Aurora (seconds)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PP2 (ShowCre)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Indexer (t_I)</c:v>
                </c:pt>
                <c:pt idx="1">
                  <c:v>Prover (t_P)</c:v>
                </c:pt>
                <c:pt idx="2">
                  <c:v>Verifier (t_V)</c:v>
                </c:pt>
                <c:pt idx="3">
                  <c:v>Instance Rebuild</c:v>
                </c:pt>
                <c:pt idx="4">
                  <c:v>Proof Verify</c:v>
                </c:pt>
              </c:strCache>
            </c:strRef>
          </c:cat>
          <c:val>
            <c:numRef>
              <c:f>Charts!$B$4:$B$8</c:f>
              <c:numCache>
                <c:formatCode>#,##0.000</c:formatCode>
                <c:ptCount val="5"/>
                <c:pt idx="0">
                  <c:v>87.719507</c:v>
                </c:pt>
                <c:pt idx="1">
                  <c:v>127.507079</c:v>
                </c:pt>
                <c:pt idx="2">
                  <c:v>81.165689</c:v>
                </c:pt>
                <c:pt idx="3">
                  <c:v>0.415684</c:v>
                </c:pt>
                <c:pt idx="4">
                  <c:v>39.892362</c:v>
                </c:pt>
              </c:numCache>
            </c:numRef>
          </c:val>
        </c:ser>
        <c:ser>
          <c:idx val="1"/>
          <c:order val="1"/>
          <c:tx>
            <c:strRef>
              <c:f>Charts!C3</c:f>
              <c:strCache>
                <c:ptCount val="1"/>
                <c:pt idx="0">
                  <c:v>PP3 (policy_v1)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Indexer (t_I)</c:v>
                </c:pt>
                <c:pt idx="1">
                  <c:v>Prover (t_P)</c:v>
                </c:pt>
                <c:pt idx="2">
                  <c:v>Verifier (t_V)</c:v>
                </c:pt>
                <c:pt idx="3">
                  <c:v>Instance Rebuild</c:v>
                </c:pt>
                <c:pt idx="4">
                  <c:v>Proof Verify</c:v>
                </c:pt>
              </c:strCache>
            </c:strRef>
          </c:cat>
          <c:val>
            <c:numRef>
              <c:f>Charts!$C$4:$C$8</c:f>
              <c:numCache>
                <c:formatCode>#,##0.000</c:formatCode>
                <c:ptCount val="5"/>
                <c:pt idx="0">
                  <c:v>86.432941</c:v>
                </c:pt>
                <c:pt idx="1">
                  <c:v>127.150439</c:v>
                </c:pt>
                <c:pt idx="2">
                  <c:v>79.952433</c:v>
                </c:pt>
                <c:pt idx="3">
                  <c:v>0.372213</c:v>
                </c:pt>
                <c:pt idx="4">
                  <c:v>39.865952</c:v>
                </c:pt>
              </c:numCache>
            </c:numRef>
          </c:val>
        </c:ser>
        <c:ser>
          <c:idx val="2"/>
          <c:order val="2"/>
          <c:tx>
            <c:strRef>
              <c:f>Charts!D3</c:f>
              <c:strCache>
                <c:ptCount val="1"/>
                <c:pt idx="0">
                  <c:v>PP3 (policy_v2)</c:v>
                </c:pt>
              </c:strCache>
            </c:strRef>
          </c:tx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Indexer (t_I)</c:v>
                </c:pt>
                <c:pt idx="1">
                  <c:v>Prover (t_P)</c:v>
                </c:pt>
                <c:pt idx="2">
                  <c:v>Verifier (t_V)</c:v>
                </c:pt>
                <c:pt idx="3">
                  <c:v>Instance Rebuild</c:v>
                </c:pt>
                <c:pt idx="4">
                  <c:v>Proof Verify</c:v>
                </c:pt>
              </c:strCache>
            </c:strRef>
          </c:cat>
          <c:val>
            <c:numRef>
              <c:f>Charts!$D$4:$D$8</c:f>
              <c:numCache>
                <c:formatCode>#,##0.000</c:formatCode>
                <c:ptCount val="5"/>
                <c:pt idx="0">
                  <c:v>85.56105</c:v>
                </c:pt>
                <c:pt idx="1">
                  <c:v>127.029761</c:v>
                </c:pt>
                <c:pt idx="2">
                  <c:v>81.783295</c:v>
                </c:pt>
                <c:pt idx="3">
                  <c:v>0.407117</c:v>
                </c:pt>
                <c:pt idx="4">
                  <c:v>40.012378</c:v>
                </c:pt>
              </c:numCache>
            </c:numRef>
          </c:val>
        </c:ser>
        <c:gapWidth val="150"/>
        <c:overlap val="0"/>
        <c:axId val="97350893"/>
        <c:axId val="67304735"/>
      </c:barChart>
      <c:catAx>
        <c:axId val="973508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Benchmark Phase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304735"/>
        <c:crosses val="autoZero"/>
        <c:auto val="1"/>
        <c:lblAlgn val="ctr"/>
        <c:lblOffset val="100"/>
        <c:noMultiLvlLbl val="0"/>
      </c:catAx>
      <c:valAx>
        <c:axId val="67304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3508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Proof &amp; Signature Size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Charts!G3</c:f>
              <c:strCache>
                <c:ptCount val="1"/>
                <c:pt idx="0">
                  <c:v>PP2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Charts!$F$4:$F$5</c:f>
              <c:strCache>
                <c:ptCount val="2"/>
                <c:pt idx="0">
                  <c:v>Proof (MB)</c:v>
                </c:pt>
                <c:pt idx="1">
                  <c:v>Signature (KB)</c:v>
                </c:pt>
              </c:strCache>
            </c:strRef>
          </c:cat>
          <c:val>
            <c:numRef>
              <c:f>Charts!$G$4:$G$5</c:f>
              <c:numCache>
                <c:formatCode>#,##0.00</c:formatCode>
                <c:ptCount val="2"/>
                <c:pt idx="0">
                  <c:v>32.0197296142578</c:v>
                </c:pt>
                <c:pt idx="1">
                  <c:v>38.5625</c:v>
                </c:pt>
              </c:numCache>
            </c:numRef>
          </c:val>
        </c:ser>
        <c:ser>
          <c:idx val="1"/>
          <c:order val="1"/>
          <c:tx>
            <c:strRef>
              <c:f>Charts!H3</c:f>
              <c:strCache>
                <c:ptCount val="1"/>
                <c:pt idx="0">
                  <c:v>PP3 (v1)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Charts!$F$4:$F$5</c:f>
              <c:strCache>
                <c:ptCount val="2"/>
                <c:pt idx="0">
                  <c:v>Proof (MB)</c:v>
                </c:pt>
                <c:pt idx="1">
                  <c:v>Signature (KB)</c:v>
                </c:pt>
              </c:strCache>
            </c:strRef>
          </c:cat>
          <c:val>
            <c:numRef>
              <c:f>Charts!$H$4:$H$5</c:f>
              <c:numCache>
                <c:formatCode>#,##0.00</c:formatCode>
                <c:ptCount val="2"/>
                <c:pt idx="0">
                  <c:v>32.0205230712891</c:v>
                </c:pt>
                <c:pt idx="1">
                  <c:v>38.5625</c:v>
                </c:pt>
              </c:numCache>
            </c:numRef>
          </c:val>
        </c:ser>
        <c:ser>
          <c:idx val="2"/>
          <c:order val="2"/>
          <c:tx>
            <c:strRef>
              <c:f>Charts!I3</c:f>
              <c:strCache>
                <c:ptCount val="1"/>
                <c:pt idx="0">
                  <c:v>PP3 (v2)</c:v>
                </c:pt>
              </c:strCache>
            </c:strRef>
          </c:tx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Charts!$F$4:$F$5</c:f>
              <c:strCache>
                <c:ptCount val="2"/>
                <c:pt idx="0">
                  <c:v>Proof (MB)</c:v>
                </c:pt>
                <c:pt idx="1">
                  <c:v>Signature (KB)</c:v>
                </c:pt>
              </c:strCache>
            </c:strRef>
          </c:cat>
          <c:val>
            <c:numRef>
              <c:f>Charts!$I$4:$I$5</c:f>
              <c:numCache>
                <c:formatCode>#,##0.00</c:formatCode>
                <c:ptCount val="2"/>
                <c:pt idx="0">
                  <c:v>32.0197296142578</c:v>
                </c:pt>
                <c:pt idx="1">
                  <c:v>38.5625</c:v>
                </c:pt>
              </c:numCache>
            </c:numRef>
          </c:val>
        </c:ser>
        <c:gapWidth val="150"/>
        <c:overlap val="0"/>
        <c:axId val="1140855"/>
        <c:axId val="40427356"/>
      </c:barChart>
      <c:catAx>
        <c:axId val="1140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427356"/>
        <c:crosses val="autoZero"/>
        <c:auto val="1"/>
        <c:lblAlgn val="ctr"/>
        <c:lblOffset val="100"/>
        <c:noMultiLvlLbl val="0"/>
      </c:catAx>
      <c:valAx>
        <c:axId val="40427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408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R1CS Constraint Count by Architecture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Charts!B28</c:f>
              <c:strCache>
                <c:ptCount val="1"/>
                <c:pt idx="0">
                  <c:v>Constraints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Charts!$A$29:$A$31</c:f>
              <c:strCache>
                <c:ptCount val="3"/>
                <c:pt idx="0">
                  <c:v>PP2 (ShowCre)</c:v>
                </c:pt>
                <c:pt idx="1">
                  <c:v>PP3 (policy_v1)</c:v>
                </c:pt>
                <c:pt idx="2">
                  <c:v>PP3 (policy_v2)</c:v>
                </c:pt>
              </c:strCache>
            </c:strRef>
          </c:cat>
          <c:val>
            <c:numRef>
              <c:f>Charts!$B$29:$B$31</c:f>
              <c:numCache>
                <c:formatCode>#,##0</c:formatCode>
                <c:ptCount val="3"/>
                <c:pt idx="0">
                  <c:v>813143</c:v>
                </c:pt>
                <c:pt idx="1">
                  <c:v>813338</c:v>
                </c:pt>
                <c:pt idx="2">
                  <c:v>813343</c:v>
                </c:pt>
              </c:numCache>
            </c:numRef>
          </c:val>
        </c:ser>
        <c:gapWidth val="150"/>
        <c:overlap val="0"/>
        <c:axId val="73734130"/>
        <c:axId val="79342155"/>
      </c:barChart>
      <c:catAx>
        <c:axId val="73734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342155"/>
        <c:crosses val="autoZero"/>
        <c:auto val="1"/>
        <c:lblAlgn val="ctr"/>
        <c:lblOffset val="100"/>
        <c:noMultiLvlLbl val="0"/>
      </c:catAx>
      <c:valAx>
        <c:axId val="79342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Number of Constraints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7341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End-to-End Time Breakdown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Charts!G28</c:f>
              <c:strCache>
                <c:ptCount val="1"/>
                <c:pt idx="0">
                  <c:v>Indexer (s)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Charts!$F$29:$F$31</c:f>
              <c:strCache>
                <c:ptCount val="3"/>
                <c:pt idx="0">
                  <c:v>PP2</c:v>
                </c:pt>
                <c:pt idx="1">
                  <c:v>PP3 (v1)</c:v>
                </c:pt>
                <c:pt idx="2">
                  <c:v>PP3 (v2)</c:v>
                </c:pt>
              </c:strCache>
            </c:strRef>
          </c:cat>
          <c:val>
            <c:numRef>
              <c:f>Charts!$G$29:$G$31</c:f>
              <c:numCache>
                <c:formatCode>General</c:formatCode>
                <c:ptCount val="3"/>
                <c:pt idx="0">
                  <c:v>87.719507</c:v>
                </c:pt>
                <c:pt idx="1">
                  <c:v>86.432941</c:v>
                </c:pt>
                <c:pt idx="2">
                  <c:v>85.56105</c:v>
                </c:pt>
              </c:numCache>
            </c:numRef>
          </c:val>
        </c:ser>
        <c:ser>
          <c:idx val="1"/>
          <c:order val="1"/>
          <c:tx>
            <c:strRef>
              <c:f>Charts!H28</c:f>
              <c:strCache>
                <c:ptCount val="1"/>
                <c:pt idx="0">
                  <c:v>Prover (s)</c:v>
                </c:pt>
              </c:strCache>
            </c:strRef>
          </c:tx>
          <c:spPr>
            <a:solidFill>
              <a:srgbClr val="ff6d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Charts!$F$29:$F$31</c:f>
              <c:strCache>
                <c:ptCount val="3"/>
                <c:pt idx="0">
                  <c:v>PP2</c:v>
                </c:pt>
                <c:pt idx="1">
                  <c:v>PP3 (v1)</c:v>
                </c:pt>
                <c:pt idx="2">
                  <c:v>PP3 (v2)</c:v>
                </c:pt>
              </c:strCache>
            </c:strRef>
          </c:cat>
          <c:val>
            <c:numRef>
              <c:f>Charts!$H$29:$H$31</c:f>
              <c:numCache>
                <c:formatCode>General</c:formatCode>
                <c:ptCount val="3"/>
                <c:pt idx="0">
                  <c:v>127.507079</c:v>
                </c:pt>
                <c:pt idx="1">
                  <c:v>127.150439</c:v>
                </c:pt>
                <c:pt idx="2">
                  <c:v>127.029761</c:v>
                </c:pt>
              </c:numCache>
            </c:numRef>
          </c:val>
        </c:ser>
        <c:ser>
          <c:idx val="2"/>
          <c:order val="2"/>
          <c:tx>
            <c:strRef>
              <c:f>Charts!I28</c:f>
              <c:strCache>
                <c:ptCount val="1"/>
                <c:pt idx="0">
                  <c:v>Verifier (s)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Charts!$F$29:$F$31</c:f>
              <c:strCache>
                <c:ptCount val="3"/>
                <c:pt idx="0">
                  <c:v>PP2</c:v>
                </c:pt>
                <c:pt idx="1">
                  <c:v>PP3 (v1)</c:v>
                </c:pt>
                <c:pt idx="2">
                  <c:v>PP3 (v2)</c:v>
                </c:pt>
              </c:strCache>
            </c:strRef>
          </c:cat>
          <c:val>
            <c:numRef>
              <c:f>Charts!$I$29:$I$31</c:f>
              <c:numCache>
                <c:formatCode>General</c:formatCode>
                <c:ptCount val="3"/>
                <c:pt idx="0">
                  <c:v>81.165689</c:v>
                </c:pt>
                <c:pt idx="1">
                  <c:v>79.952433</c:v>
                </c:pt>
                <c:pt idx="2">
                  <c:v>81.783295</c:v>
                </c:pt>
              </c:numCache>
            </c:numRef>
          </c:val>
        </c:ser>
        <c:gapWidth val="150"/>
        <c:overlap val="100"/>
        <c:axId val="57245575"/>
        <c:axId val="99691349"/>
      </c:barChart>
      <c:catAx>
        <c:axId val="57245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691349"/>
        <c:crosses val="autoZero"/>
        <c:auto val="1"/>
        <c:lblAlgn val="ctr"/>
        <c:lblOffset val="100"/>
        <c:noMultiLvlLbl val="0"/>
      </c:catAx>
      <c:valAx>
        <c:axId val="99691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2455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10440</xdr:rowOff>
    </xdr:from>
    <xdr:to>
      <xdr:col>8</xdr:col>
      <xdr:colOff>25200</xdr:colOff>
      <xdr:row>34</xdr:row>
      <xdr:rowOff>96840</xdr:rowOff>
    </xdr:to>
    <xdr:graphicFrame>
      <xdr:nvGraphicFramePr>
        <xdr:cNvPr id="0" name="Chart 1"/>
        <xdr:cNvGraphicFramePr/>
      </xdr:nvGraphicFramePr>
      <xdr:xfrm>
        <a:off x="0" y="1714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10440</xdr:rowOff>
    </xdr:from>
    <xdr:to>
      <xdr:col>19</xdr:col>
      <xdr:colOff>364680</xdr:colOff>
      <xdr:row>34</xdr:row>
      <xdr:rowOff>96840</xdr:rowOff>
    </xdr:to>
    <xdr:graphicFrame>
      <xdr:nvGraphicFramePr>
        <xdr:cNvPr id="1" name="Chart 2"/>
        <xdr:cNvGraphicFramePr/>
      </xdr:nvGraphicFramePr>
      <xdr:xfrm>
        <a:off x="8881200" y="17146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10080</xdr:rowOff>
    </xdr:from>
    <xdr:to>
      <xdr:col>6</xdr:col>
      <xdr:colOff>558720</xdr:colOff>
      <xdr:row>57</xdr:row>
      <xdr:rowOff>96840</xdr:rowOff>
    </xdr:to>
    <xdr:graphicFrame>
      <xdr:nvGraphicFramePr>
        <xdr:cNvPr id="2" name="Chart 3"/>
        <xdr:cNvGraphicFramePr/>
      </xdr:nvGraphicFramePr>
      <xdr:xfrm>
        <a:off x="0" y="60958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31</xdr:row>
      <xdr:rowOff>10080</xdr:rowOff>
    </xdr:from>
    <xdr:to>
      <xdr:col>19</xdr:col>
      <xdr:colOff>364680</xdr:colOff>
      <xdr:row>57</xdr:row>
      <xdr:rowOff>96840</xdr:rowOff>
    </xdr:to>
    <xdr:graphicFrame>
      <xdr:nvGraphicFramePr>
        <xdr:cNvPr id="3" name="Chart 4"/>
        <xdr:cNvGraphicFramePr/>
      </xdr:nvGraphicFramePr>
      <xdr:xfrm>
        <a:off x="8881200" y="60958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U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2" min="1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</row>
    <row r="5" customFormat="false" ht="15" hidden="false" customHeight="false" outlineLevel="0" collapsed="false">
      <c r="A5" s="5" t="n">
        <v>2</v>
      </c>
      <c r="B5" s="5" t="n">
        <v>0</v>
      </c>
      <c r="C5" s="5" t="n">
        <v>20</v>
      </c>
      <c r="D5" s="6" t="s">
        <v>22</v>
      </c>
      <c r="E5" s="5" t="n">
        <v>813143</v>
      </c>
      <c r="F5" s="7" t="n">
        <v>87.719507</v>
      </c>
      <c r="G5" s="7" t="n">
        <v>127.507079</v>
      </c>
      <c r="H5" s="7" t="n">
        <v>81.165689</v>
      </c>
      <c r="I5" s="7" t="n">
        <v>0.415684</v>
      </c>
      <c r="J5" s="7" t="n">
        <v>39.892362</v>
      </c>
      <c r="K5" s="5" t="n">
        <v>33575120</v>
      </c>
      <c r="L5" s="5" t="n">
        <v>39488</v>
      </c>
      <c r="N5" s="8" t="n">
        <v>0.001470375</v>
      </c>
      <c r="O5" s="8" t="n">
        <v>0.001370708</v>
      </c>
      <c r="P5" s="8" t="n">
        <v>1.66E-007</v>
      </c>
      <c r="Q5" s="8" t="n">
        <v>87.719507334</v>
      </c>
      <c r="R5" s="8" t="n">
        <v>127.507078833</v>
      </c>
      <c r="S5" s="8" t="n">
        <v>0.415683625</v>
      </c>
      <c r="T5" s="8" t="n">
        <v>39.892362084</v>
      </c>
      <c r="U5" s="8" t="n">
        <v>81.165689042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3" min="1" style="0" width="12"/>
  </cols>
  <sheetData>
    <row r="1" customFormat="false" ht="17.35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6.85" hidden="false" customHeight="false" outlineLevel="0" collapsed="false">
      <c r="A4" s="3" t="s">
        <v>25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customFormat="false" ht="15" hidden="false" customHeight="false" outlineLevel="0" collapsed="false">
      <c r="A5" s="6" t="s">
        <v>26</v>
      </c>
      <c r="B5" s="5" t="n">
        <v>2</v>
      </c>
      <c r="C5" s="5" t="n">
        <v>0</v>
      </c>
      <c r="D5" s="5" t="n">
        <v>20</v>
      </c>
      <c r="E5" s="6" t="s">
        <v>22</v>
      </c>
      <c r="F5" s="5" t="n">
        <v>813338</v>
      </c>
      <c r="G5" s="7" t="n">
        <v>86.432941</v>
      </c>
      <c r="H5" s="7" t="n">
        <v>127.150439</v>
      </c>
      <c r="I5" s="7" t="n">
        <v>79.952433</v>
      </c>
      <c r="J5" s="7" t="n">
        <v>0.372213</v>
      </c>
      <c r="K5" s="7" t="n">
        <v>39.865952</v>
      </c>
      <c r="L5" s="5" t="n">
        <v>33575952</v>
      </c>
      <c r="M5" s="5" t="n">
        <v>39488</v>
      </c>
    </row>
    <row r="6" customFormat="false" ht="15" hidden="false" customHeight="false" outlineLevel="0" collapsed="false">
      <c r="A6" s="6" t="s">
        <v>27</v>
      </c>
      <c r="B6" s="5" t="n">
        <v>2</v>
      </c>
      <c r="C6" s="5" t="n">
        <v>0</v>
      </c>
      <c r="D6" s="5" t="n">
        <v>20</v>
      </c>
      <c r="E6" s="6" t="s">
        <v>22</v>
      </c>
      <c r="F6" s="5" t="n">
        <v>813343</v>
      </c>
      <c r="G6" s="7" t="n">
        <v>85.56105</v>
      </c>
      <c r="H6" s="7" t="n">
        <v>127.029761</v>
      </c>
      <c r="I6" s="7" t="n">
        <v>81.783295</v>
      </c>
      <c r="J6" s="7" t="n">
        <v>0.407117</v>
      </c>
      <c r="K6" s="7" t="n">
        <v>40.012378</v>
      </c>
      <c r="L6" s="5" t="n">
        <v>33575120</v>
      </c>
      <c r="M6" s="5" t="n">
        <v>39488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0" min="1" style="0" width="16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9" t="s">
        <v>29</v>
      </c>
      <c r="B3" s="9"/>
      <c r="C3" s="9"/>
      <c r="D3" s="9"/>
      <c r="E3" s="9"/>
      <c r="F3" s="9"/>
      <c r="G3" s="9"/>
      <c r="H3" s="9"/>
      <c r="I3" s="9"/>
      <c r="J3" s="9"/>
    </row>
    <row r="5" customFormat="false" ht="15" hidden="false" customHeight="false" outlineLevel="0" collapsed="false">
      <c r="A5" s="3" t="s">
        <v>30</v>
      </c>
      <c r="B5" s="3" t="s">
        <v>31</v>
      </c>
      <c r="C5" s="3" t="s">
        <v>32</v>
      </c>
    </row>
    <row r="6" customFormat="false" ht="15" hidden="false" customHeight="false" outlineLevel="0" collapsed="false">
      <c r="A6" s="10" t="s">
        <v>33</v>
      </c>
      <c r="B6" s="5" t="n">
        <v>2</v>
      </c>
      <c r="C6" s="11"/>
    </row>
    <row r="7" customFormat="false" ht="15" hidden="false" customHeight="false" outlineLevel="0" collapsed="false">
      <c r="A7" s="10" t="s">
        <v>34</v>
      </c>
      <c r="B7" s="5" t="n">
        <v>813143</v>
      </c>
      <c r="C7" s="11" t="s">
        <v>35</v>
      </c>
    </row>
    <row r="8" customFormat="false" ht="15" hidden="false" customHeight="false" outlineLevel="0" collapsed="false">
      <c r="A8" s="10" t="s">
        <v>36</v>
      </c>
      <c r="B8" s="7" t="n">
        <v>87.719507</v>
      </c>
      <c r="C8" s="11" t="s">
        <v>37</v>
      </c>
    </row>
    <row r="9" customFormat="false" ht="15" hidden="false" customHeight="false" outlineLevel="0" collapsed="false">
      <c r="A9" s="10" t="s">
        <v>38</v>
      </c>
      <c r="B9" s="7" t="n">
        <v>127.507079</v>
      </c>
      <c r="C9" s="11" t="s">
        <v>37</v>
      </c>
    </row>
    <row r="10" customFormat="false" ht="15" hidden="false" customHeight="false" outlineLevel="0" collapsed="false">
      <c r="A10" s="10" t="s">
        <v>39</v>
      </c>
      <c r="B10" s="7" t="n">
        <v>81.165689</v>
      </c>
      <c r="C10" s="11" t="s">
        <v>37</v>
      </c>
    </row>
    <row r="11" customFormat="false" ht="15" hidden="false" customHeight="false" outlineLevel="0" collapsed="false">
      <c r="A11" s="10" t="s">
        <v>40</v>
      </c>
      <c r="B11" s="7" t="n">
        <v>0.415684</v>
      </c>
      <c r="C11" s="11" t="s">
        <v>37</v>
      </c>
    </row>
    <row r="12" customFormat="false" ht="15" hidden="false" customHeight="false" outlineLevel="0" collapsed="false">
      <c r="A12" s="10" t="s">
        <v>41</v>
      </c>
      <c r="B12" s="7" t="n">
        <v>39.892362</v>
      </c>
      <c r="C12" s="11" t="s">
        <v>37</v>
      </c>
    </row>
    <row r="13" customFormat="false" ht="15" hidden="false" customHeight="false" outlineLevel="0" collapsed="false">
      <c r="A13" s="10" t="s">
        <v>42</v>
      </c>
      <c r="B13" s="5" t="n">
        <v>33575120</v>
      </c>
      <c r="C13" s="11" t="s">
        <v>43</v>
      </c>
    </row>
    <row r="14" customFormat="false" ht="15" hidden="false" customHeight="false" outlineLevel="0" collapsed="false">
      <c r="A14" s="10" t="s">
        <v>44</v>
      </c>
      <c r="B14" s="7" t="n">
        <v>32.02</v>
      </c>
      <c r="C14" s="11" t="s">
        <v>45</v>
      </c>
    </row>
    <row r="15" customFormat="false" ht="15" hidden="false" customHeight="false" outlineLevel="0" collapsed="false">
      <c r="A15" s="10" t="s">
        <v>46</v>
      </c>
      <c r="B15" s="5" t="n">
        <v>39488</v>
      </c>
      <c r="C15" s="11" t="s">
        <v>43</v>
      </c>
    </row>
    <row r="16" customFormat="false" ht="15" hidden="false" customHeight="false" outlineLevel="0" collapsed="false">
      <c r="A16" s="10" t="s">
        <v>47</v>
      </c>
      <c r="B16" s="7" t="n">
        <v>38.56</v>
      </c>
      <c r="C16" s="11" t="s">
        <v>48</v>
      </c>
    </row>
    <row r="17" customFormat="false" ht="15" hidden="false" customHeight="false" outlineLevel="0" collapsed="false">
      <c r="A17" s="10" t="s">
        <v>49</v>
      </c>
      <c r="B17" s="12" t="n">
        <f aca="false">B8+B9+B10</f>
        <v>296.392275</v>
      </c>
      <c r="C17" s="11" t="s">
        <v>37</v>
      </c>
    </row>
    <row r="18" customFormat="false" ht="15" hidden="false" customHeight="false" outlineLevel="0" collapsed="false">
      <c r="A18" s="10" t="s">
        <v>50</v>
      </c>
      <c r="B18" s="5" t="n">
        <v>20</v>
      </c>
      <c r="C18" s="11" t="s">
        <v>51</v>
      </c>
    </row>
    <row r="22" customFormat="false" ht="15" hidden="false" customHeight="false" outlineLevel="0" collapsed="false">
      <c r="A22" s="9" t="s">
        <v>52</v>
      </c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A23" s="3" t="s">
        <v>53</v>
      </c>
      <c r="B23" s="3" t="s">
        <v>54</v>
      </c>
      <c r="C23" s="3" t="s">
        <v>7</v>
      </c>
      <c r="D23" s="3" t="s">
        <v>8</v>
      </c>
      <c r="E23" s="3" t="s">
        <v>9</v>
      </c>
      <c r="F23" s="3" t="s">
        <v>10</v>
      </c>
      <c r="G23" s="3" t="s">
        <v>11</v>
      </c>
      <c r="H23" s="3" t="s">
        <v>12</v>
      </c>
      <c r="I23" s="3" t="s">
        <v>55</v>
      </c>
      <c r="J23" s="3" t="s">
        <v>13</v>
      </c>
    </row>
    <row r="24" customFormat="false" ht="15" hidden="false" customHeight="false" outlineLevel="0" collapsed="false">
      <c r="A24" s="6" t="s">
        <v>26</v>
      </c>
      <c r="B24" s="6" t="n">
        <v>813338</v>
      </c>
      <c r="C24" s="6" t="n">
        <v>86.432941</v>
      </c>
      <c r="D24" s="6" t="n">
        <v>127.150439</v>
      </c>
      <c r="E24" s="6" t="n">
        <v>79.952433</v>
      </c>
      <c r="F24" s="6" t="n">
        <v>0.372213</v>
      </c>
      <c r="G24" s="6" t="n">
        <v>39.865952</v>
      </c>
      <c r="H24" s="6" t="n">
        <v>33575952</v>
      </c>
      <c r="I24" s="6" t="n">
        <v>32.02</v>
      </c>
      <c r="J24" s="6" t="n">
        <v>39488</v>
      </c>
    </row>
    <row r="25" customFormat="false" ht="15" hidden="false" customHeight="false" outlineLevel="0" collapsed="false">
      <c r="A25" s="6" t="s">
        <v>27</v>
      </c>
      <c r="B25" s="6" t="n">
        <v>813343</v>
      </c>
      <c r="C25" s="6" t="n">
        <v>85.56105</v>
      </c>
      <c r="D25" s="6" t="n">
        <v>127.029761</v>
      </c>
      <c r="E25" s="6" t="n">
        <v>81.783295</v>
      </c>
      <c r="F25" s="6" t="n">
        <v>0.407117</v>
      </c>
      <c r="G25" s="6" t="n">
        <v>40.012378</v>
      </c>
      <c r="H25" s="6" t="n">
        <v>33575120</v>
      </c>
      <c r="I25" s="6" t="n">
        <v>32.02</v>
      </c>
      <c r="J25" s="6" t="n">
        <v>39488</v>
      </c>
    </row>
    <row r="26" customFormat="false" ht="15" hidden="false" customHeight="false" outlineLevel="0" collapsed="false">
      <c r="A26" s="13" t="s">
        <v>56</v>
      </c>
      <c r="B26" s="14" t="n">
        <f aca="false">AVERAGE(B24:B25)</f>
        <v>813340.5</v>
      </c>
      <c r="C26" s="14" t="n">
        <f aca="false">AVERAGE(C24:C25)</f>
        <v>85.9969955</v>
      </c>
      <c r="D26" s="14" t="n">
        <f aca="false">AVERAGE(D24:D25)</f>
        <v>127.0901</v>
      </c>
      <c r="E26" s="14" t="n">
        <f aca="false">AVERAGE(E24:E25)</f>
        <v>80.867864</v>
      </c>
      <c r="F26" s="14" t="n">
        <f aca="false">AVERAGE(F24:F25)</f>
        <v>0.389665</v>
      </c>
      <c r="G26" s="14" t="n">
        <f aca="false">AVERAGE(G24:G25)</f>
        <v>39.939165</v>
      </c>
      <c r="H26" s="14" t="n">
        <f aca="false">AVERAGE(H24:H25)</f>
        <v>33575536</v>
      </c>
      <c r="I26" s="14" t="n">
        <f aca="false">AVERAGE(I24:I25)</f>
        <v>32.02</v>
      </c>
      <c r="J26" s="14" t="n">
        <f aca="false">AVERAGE(J24:J25)</f>
        <v>39488</v>
      </c>
    </row>
    <row r="27" customFormat="false" ht="15" hidden="false" customHeight="false" outlineLevel="0" collapsed="false">
      <c r="A27" s="15" t="s">
        <v>57</v>
      </c>
      <c r="B27" s="7" t="n">
        <f aca="false">STDEV(B24:B25)</f>
        <v>3.53553390593274</v>
      </c>
      <c r="C27" s="7" t="n">
        <f aca="false">STDEV(C24:C25)</f>
        <v>0.616520038555524</v>
      </c>
      <c r="D27" s="7" t="n">
        <f aca="false">STDEV(D24:D25)</f>
        <v>0.0853322321400389</v>
      </c>
      <c r="E27" s="7" t="n">
        <f aca="false">STDEV(E24:E25)</f>
        <v>1.29461493561676</v>
      </c>
      <c r="F27" s="7" t="n">
        <f aca="false">STDEV(F24:F25)</f>
        <v>0.0246808550905352</v>
      </c>
      <c r="G27" s="7" t="n">
        <f aca="false">STDEV(G24:G25)</f>
        <v>0.10353881754202</v>
      </c>
      <c r="H27" s="7" t="n">
        <f aca="false">STDEV(H24:H25)</f>
        <v>588.312841947208</v>
      </c>
      <c r="I27" s="7" t="n">
        <f aca="false">STDEV(I24:I25)</f>
        <v>0</v>
      </c>
      <c r="J27" s="7" t="n">
        <f aca="false">STDEV(J24:J25)</f>
        <v>0</v>
      </c>
    </row>
    <row r="28" customFormat="false" ht="15" hidden="false" customHeight="false" outlineLevel="0" collapsed="false">
      <c r="A28" s="16" t="s">
        <v>58</v>
      </c>
      <c r="B28" s="17" t="n">
        <f aca="false">MIN(B24:B25)</f>
        <v>813338</v>
      </c>
      <c r="C28" s="17" t="n">
        <f aca="false">MIN(C24:C25)</f>
        <v>85.56105</v>
      </c>
      <c r="D28" s="17" t="n">
        <f aca="false">MIN(D24:D25)</f>
        <v>127.029761</v>
      </c>
      <c r="E28" s="17" t="n">
        <f aca="false">MIN(E24:E25)</f>
        <v>79.952433</v>
      </c>
      <c r="F28" s="17" t="n">
        <f aca="false">MIN(F24:F25)</f>
        <v>0.372213</v>
      </c>
      <c r="G28" s="17" t="n">
        <f aca="false">MIN(G24:G25)</f>
        <v>39.865952</v>
      </c>
      <c r="H28" s="17" t="n">
        <f aca="false">MIN(H24:H25)</f>
        <v>33575120</v>
      </c>
      <c r="I28" s="17" t="n">
        <f aca="false">MIN(I24:I25)</f>
        <v>32.02</v>
      </c>
      <c r="J28" s="17" t="n">
        <f aca="false">MIN(J24:J25)</f>
        <v>39488</v>
      </c>
    </row>
    <row r="29" customFormat="false" ht="15" hidden="false" customHeight="false" outlineLevel="0" collapsed="false">
      <c r="A29" s="18" t="s">
        <v>59</v>
      </c>
      <c r="B29" s="19" t="n">
        <f aca="false">MAX(B24:B25)</f>
        <v>813343</v>
      </c>
      <c r="C29" s="19" t="n">
        <f aca="false">MAX(C24:C25)</f>
        <v>86.432941</v>
      </c>
      <c r="D29" s="19" t="n">
        <f aca="false">MAX(D24:D25)</f>
        <v>127.150439</v>
      </c>
      <c r="E29" s="19" t="n">
        <f aca="false">MAX(E24:E25)</f>
        <v>81.783295</v>
      </c>
      <c r="F29" s="19" t="n">
        <f aca="false">MAX(F24:F25)</f>
        <v>0.407117</v>
      </c>
      <c r="G29" s="19" t="n">
        <f aca="false">MAX(G24:G25)</f>
        <v>40.012378</v>
      </c>
      <c r="H29" s="19" t="n">
        <f aca="false">MAX(H24:H25)</f>
        <v>33575952</v>
      </c>
      <c r="I29" s="19" t="n">
        <f aca="false">MAX(I24:I25)</f>
        <v>32.02</v>
      </c>
      <c r="J29" s="19" t="n">
        <f aca="false">MAX(J24:J25)</f>
        <v>39488</v>
      </c>
    </row>
  </sheetData>
  <mergeCells count="3">
    <mergeCell ref="A1:J1"/>
    <mergeCell ref="A3:J3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D00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18"/>
  </cols>
  <sheetData>
    <row r="1" customFormat="false" ht="17.35" hidden="false" customHeight="false" outlineLevel="0" collapsed="false">
      <c r="A1" s="1" t="s">
        <v>60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30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  <c r="G4" s="3" t="s">
        <v>67</v>
      </c>
    </row>
    <row r="5" customFormat="false" ht="15" hidden="false" customHeight="false" outlineLevel="0" collapsed="false">
      <c r="A5" s="10" t="s">
        <v>34</v>
      </c>
      <c r="B5" s="5" t="n">
        <v>813143</v>
      </c>
      <c r="C5" s="5" t="n">
        <v>813338</v>
      </c>
      <c r="D5" s="5" t="n">
        <v>813343</v>
      </c>
      <c r="E5" s="5" t="n">
        <f aca="false">AVERAGE(C5,D5)</f>
        <v>813340.5</v>
      </c>
      <c r="F5" s="7" t="n">
        <f aca="false">E5-B5</f>
        <v>197.5</v>
      </c>
      <c r="G5" s="20" t="n">
        <f aca="false">IF(B5=0,"-",F5/B5*100)</f>
        <v>0.0242884707855814</v>
      </c>
    </row>
    <row r="6" customFormat="false" ht="15" hidden="false" customHeight="false" outlineLevel="0" collapsed="false">
      <c r="A6" s="10" t="s">
        <v>68</v>
      </c>
      <c r="B6" s="7" t="n">
        <v>87.719507</v>
      </c>
      <c r="C6" s="7" t="n">
        <v>86.432941</v>
      </c>
      <c r="D6" s="7" t="n">
        <v>85.56105</v>
      </c>
      <c r="E6" s="7" t="n">
        <f aca="false">AVERAGE(C6,D6)</f>
        <v>85.9969955</v>
      </c>
      <c r="F6" s="7" t="n">
        <f aca="false">E6-B6</f>
        <v>-1.7225115</v>
      </c>
      <c r="G6" s="20" t="n">
        <f aca="false">IF(B6=0,"-",F6/B6*100)</f>
        <v>-1.96365843688565</v>
      </c>
    </row>
    <row r="7" customFormat="false" ht="15" hidden="false" customHeight="false" outlineLevel="0" collapsed="false">
      <c r="A7" s="10" t="s">
        <v>69</v>
      </c>
      <c r="B7" s="7" t="n">
        <v>127.507079</v>
      </c>
      <c r="C7" s="7" t="n">
        <v>127.150439</v>
      </c>
      <c r="D7" s="7" t="n">
        <v>127.029761</v>
      </c>
      <c r="E7" s="7" t="n">
        <f aca="false">AVERAGE(C7,D7)</f>
        <v>127.0901</v>
      </c>
      <c r="F7" s="7" t="n">
        <f aca="false">E7-B7</f>
        <v>-0.416978999999998</v>
      </c>
      <c r="G7" s="20" t="n">
        <f aca="false">IF(B7=0,"-",F7/B7*100)</f>
        <v>-0.327024196044831</v>
      </c>
    </row>
    <row r="8" customFormat="false" ht="15" hidden="false" customHeight="false" outlineLevel="0" collapsed="false">
      <c r="A8" s="10" t="s">
        <v>70</v>
      </c>
      <c r="B8" s="7" t="n">
        <v>81.165689</v>
      </c>
      <c r="C8" s="7" t="n">
        <v>79.952433</v>
      </c>
      <c r="D8" s="7" t="n">
        <v>81.783295</v>
      </c>
      <c r="E8" s="7" t="n">
        <f aca="false">AVERAGE(C8,D8)</f>
        <v>80.867864</v>
      </c>
      <c r="F8" s="7" t="n">
        <f aca="false">E8-B8</f>
        <v>-0.297825000000003</v>
      </c>
      <c r="G8" s="20" t="n">
        <f aca="false">IF(B8=0,"-",F8/B8*100)</f>
        <v>-0.366934604596288</v>
      </c>
    </row>
    <row r="9" customFormat="false" ht="15" hidden="false" customHeight="false" outlineLevel="0" collapsed="false">
      <c r="A9" s="10" t="s">
        <v>71</v>
      </c>
      <c r="B9" s="7" t="n">
        <v>0.415684</v>
      </c>
      <c r="C9" s="7" t="n">
        <v>0.372213</v>
      </c>
      <c r="D9" s="7" t="n">
        <v>0.407117</v>
      </c>
      <c r="E9" s="7" t="n">
        <f aca="false">AVERAGE(C9,D9)</f>
        <v>0.389665</v>
      </c>
      <c r="F9" s="7" t="n">
        <f aca="false">E9-B9</f>
        <v>-0.026019</v>
      </c>
      <c r="G9" s="20" t="n">
        <f aca="false">IF(B9=0,"-",F9/B9*100)</f>
        <v>-6.25932198496934</v>
      </c>
    </row>
    <row r="10" customFormat="false" ht="15" hidden="false" customHeight="false" outlineLevel="0" collapsed="false">
      <c r="A10" s="10" t="s">
        <v>72</v>
      </c>
      <c r="B10" s="7" t="n">
        <v>39.892362</v>
      </c>
      <c r="C10" s="7" t="n">
        <v>39.865952</v>
      </c>
      <c r="D10" s="7" t="n">
        <v>40.012378</v>
      </c>
      <c r="E10" s="7" t="n">
        <f aca="false">AVERAGE(C10,D10)</f>
        <v>39.939165</v>
      </c>
      <c r="F10" s="7" t="n">
        <f aca="false">E10-B10</f>
        <v>0.0468030000000042</v>
      </c>
      <c r="G10" s="20" t="n">
        <f aca="false">IF(B10=0,"-",F10/B10*100)</f>
        <v>0.117323210894367</v>
      </c>
    </row>
    <row r="11" customFormat="false" ht="15" hidden="false" customHeight="false" outlineLevel="0" collapsed="false">
      <c r="A11" s="10" t="s">
        <v>73</v>
      </c>
      <c r="B11" s="5" t="n">
        <v>33575120</v>
      </c>
      <c r="C11" s="5" t="n">
        <v>33575952</v>
      </c>
      <c r="D11" s="5" t="n">
        <v>33575120</v>
      </c>
      <c r="E11" s="5" t="n">
        <f aca="false">AVERAGE(C11,D11)</f>
        <v>33575536</v>
      </c>
      <c r="F11" s="7" t="n">
        <f aca="false">E11-B11</f>
        <v>416</v>
      </c>
      <c r="G11" s="20" t="n">
        <f aca="false">IF(B11=0,"-",F11/B11*100)</f>
        <v>0.00123901269749743</v>
      </c>
    </row>
    <row r="12" customFormat="false" ht="15" hidden="false" customHeight="false" outlineLevel="0" collapsed="false">
      <c r="A12" s="10" t="s">
        <v>74</v>
      </c>
      <c r="B12" s="5" t="n">
        <v>39488</v>
      </c>
      <c r="C12" s="5" t="n">
        <v>39488</v>
      </c>
      <c r="D12" s="5" t="n">
        <v>39488</v>
      </c>
      <c r="E12" s="5" t="n">
        <f aca="false">AVERAGE(C12,D12)</f>
        <v>39488</v>
      </c>
      <c r="F12" s="7" t="n">
        <f aca="false">E12-B12</f>
        <v>0</v>
      </c>
      <c r="G12" s="20" t="n">
        <f aca="false">IF(B12=0,"-",F12/B12*100)</f>
        <v>0</v>
      </c>
    </row>
    <row r="13" customFormat="false" ht="15" hidden="false" customHeight="false" outlineLevel="0" collapsed="false">
      <c r="A13" s="21" t="s">
        <v>75</v>
      </c>
      <c r="B13" s="14" t="n">
        <f aca="false">B6+B7+B8</f>
        <v>296.392275</v>
      </c>
      <c r="C13" s="14" t="n">
        <f aca="false">C6+C7+C8</f>
        <v>293.535813</v>
      </c>
      <c r="D13" s="14" t="n">
        <f aca="false">D6+D7+D8</f>
        <v>294.374106</v>
      </c>
      <c r="E13" s="14" t="n">
        <f aca="false">E6+E7+E8</f>
        <v>293.9549595</v>
      </c>
      <c r="F13" s="22" t="n">
        <f aca="false">E13-B13</f>
        <v>-2.43731550000001</v>
      </c>
      <c r="G13" s="23" t="n">
        <f aca="false">IF(B13=0,"-",F13/B13*100)</f>
        <v>-0.822327606210388</v>
      </c>
    </row>
    <row r="16" customFormat="false" ht="15" hidden="false" customHeight="false" outlineLevel="0" collapsed="false">
      <c r="A16" s="9" t="s">
        <v>76</v>
      </c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3" t="s">
        <v>30</v>
      </c>
      <c r="B17" s="3" t="s">
        <v>77</v>
      </c>
      <c r="C17" s="3" t="s">
        <v>78</v>
      </c>
      <c r="D17" s="3" t="s">
        <v>79</v>
      </c>
      <c r="E17" s="3" t="s">
        <v>65</v>
      </c>
    </row>
    <row r="18" customFormat="false" ht="15" hidden="false" customHeight="false" outlineLevel="0" collapsed="false">
      <c r="A18" s="0" t="s">
        <v>80</v>
      </c>
      <c r="B18" s="24" t="n">
        <f aca="false">B11/1024</f>
        <v>32788.203125</v>
      </c>
      <c r="C18" s="24" t="n">
        <f aca="false">C11/1024</f>
        <v>32789.015625</v>
      </c>
      <c r="D18" s="24" t="n">
        <f aca="false">D11/1024</f>
        <v>32788.203125</v>
      </c>
      <c r="E18" s="24" t="n">
        <f aca="false">E11/1024</f>
        <v>32788.609375</v>
      </c>
    </row>
    <row r="19" customFormat="false" ht="15" hidden="false" customHeight="false" outlineLevel="0" collapsed="false">
      <c r="A19" s="0" t="s">
        <v>44</v>
      </c>
      <c r="B19" s="24" t="n">
        <f aca="false">B11/(1024*1024)</f>
        <v>32.0197296142578</v>
      </c>
      <c r="C19" s="24" t="n">
        <f aca="false">C11/(1024*1024)</f>
        <v>32.0205230712891</v>
      </c>
      <c r="D19" s="24" t="n">
        <f aca="false">D11/(1024*1024)</f>
        <v>32.0197296142578</v>
      </c>
      <c r="E19" s="24" t="n">
        <f aca="false">E11/(1024*1024)</f>
        <v>32.0201263427734</v>
      </c>
    </row>
  </sheetData>
  <mergeCells count="3">
    <mergeCell ref="A1:H1"/>
    <mergeCell ref="A2:H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6.85" hidden="false" customHeight="false" outlineLevel="0" collapsed="false">
      <c r="A3" s="3" t="s">
        <v>82</v>
      </c>
      <c r="B3" s="3" t="s">
        <v>62</v>
      </c>
      <c r="C3" s="3" t="s">
        <v>63</v>
      </c>
      <c r="D3" s="3" t="s">
        <v>64</v>
      </c>
      <c r="E3" s="3"/>
      <c r="F3" s="3" t="s">
        <v>30</v>
      </c>
      <c r="G3" s="3" t="s">
        <v>77</v>
      </c>
      <c r="H3" s="3" t="s">
        <v>78</v>
      </c>
      <c r="I3" s="3" t="s">
        <v>79</v>
      </c>
    </row>
    <row r="4" customFormat="false" ht="15" hidden="false" customHeight="false" outlineLevel="0" collapsed="false">
      <c r="A4" s="6" t="s">
        <v>83</v>
      </c>
      <c r="B4" s="7" t="n">
        <v>87.719507</v>
      </c>
      <c r="C4" s="7" t="n">
        <v>86.432941</v>
      </c>
      <c r="D4" s="7" t="n">
        <v>85.56105</v>
      </c>
      <c r="F4" s="24" t="s">
        <v>84</v>
      </c>
      <c r="G4" s="24" t="n">
        <v>32.0197296142578</v>
      </c>
      <c r="H4" s="24" t="n">
        <v>32.0205230712891</v>
      </c>
      <c r="I4" s="24" t="n">
        <v>32.0197296142578</v>
      </c>
    </row>
    <row r="5" customFormat="false" ht="15" hidden="false" customHeight="false" outlineLevel="0" collapsed="false">
      <c r="A5" s="6" t="s">
        <v>85</v>
      </c>
      <c r="B5" s="7" t="n">
        <v>127.507079</v>
      </c>
      <c r="C5" s="7" t="n">
        <v>127.150439</v>
      </c>
      <c r="D5" s="7" t="n">
        <v>127.029761</v>
      </c>
      <c r="F5" s="24" t="s">
        <v>86</v>
      </c>
      <c r="G5" s="24" t="n">
        <v>38.5625</v>
      </c>
      <c r="H5" s="24" t="n">
        <v>38.5625</v>
      </c>
      <c r="I5" s="24" t="n">
        <v>38.5625</v>
      </c>
    </row>
    <row r="6" customFormat="false" ht="15" hidden="false" customHeight="false" outlineLevel="0" collapsed="false">
      <c r="A6" s="6" t="s">
        <v>87</v>
      </c>
      <c r="B6" s="7" t="n">
        <v>81.165689</v>
      </c>
      <c r="C6" s="7" t="n">
        <v>79.952433</v>
      </c>
      <c r="D6" s="7" t="n">
        <v>81.783295</v>
      </c>
    </row>
    <row r="7" customFormat="false" ht="15" hidden="false" customHeight="false" outlineLevel="0" collapsed="false">
      <c r="A7" s="6" t="s">
        <v>40</v>
      </c>
      <c r="B7" s="7" t="n">
        <v>0.415684</v>
      </c>
      <c r="C7" s="7" t="n">
        <v>0.372213</v>
      </c>
      <c r="D7" s="7" t="n">
        <v>0.407117</v>
      </c>
    </row>
    <row r="8" customFormat="false" ht="15" hidden="false" customHeight="false" outlineLevel="0" collapsed="false">
      <c r="A8" s="6" t="s">
        <v>88</v>
      </c>
      <c r="B8" s="7" t="n">
        <v>39.892362</v>
      </c>
      <c r="C8" s="7" t="n">
        <v>39.865952</v>
      </c>
      <c r="D8" s="7" t="n">
        <v>40.012378</v>
      </c>
    </row>
    <row r="28" customFormat="false" ht="15" hidden="false" customHeight="false" outlineLevel="0" collapsed="false">
      <c r="A28" s="3" t="s">
        <v>89</v>
      </c>
      <c r="B28" s="3" t="s">
        <v>54</v>
      </c>
      <c r="C28" s="3"/>
      <c r="D28" s="3"/>
      <c r="E28" s="3"/>
      <c r="F28" s="3" t="s">
        <v>89</v>
      </c>
      <c r="G28" s="3" t="s">
        <v>90</v>
      </c>
      <c r="H28" s="3" t="s">
        <v>91</v>
      </c>
      <c r="I28" s="3" t="s">
        <v>92</v>
      </c>
    </row>
    <row r="29" customFormat="false" ht="15" hidden="false" customHeight="false" outlineLevel="0" collapsed="false">
      <c r="A29" s="6" t="s">
        <v>62</v>
      </c>
      <c r="B29" s="5" t="n">
        <v>813143</v>
      </c>
      <c r="F29" s="0" t="s">
        <v>77</v>
      </c>
      <c r="G29" s="0" t="n">
        <v>87.719507</v>
      </c>
      <c r="H29" s="0" t="n">
        <v>127.507079</v>
      </c>
      <c r="I29" s="0" t="n">
        <v>81.165689</v>
      </c>
    </row>
    <row r="30" customFormat="false" ht="15" hidden="false" customHeight="false" outlineLevel="0" collapsed="false">
      <c r="A30" s="6" t="s">
        <v>63</v>
      </c>
      <c r="B30" s="5" t="n">
        <v>813338</v>
      </c>
      <c r="F30" s="0" t="s">
        <v>78</v>
      </c>
      <c r="G30" s="0" t="n">
        <v>86.432941</v>
      </c>
      <c r="H30" s="0" t="n">
        <v>127.150439</v>
      </c>
      <c r="I30" s="0" t="n">
        <v>79.952433</v>
      </c>
    </row>
    <row r="31" customFormat="false" ht="15" hidden="false" customHeight="false" outlineLevel="0" collapsed="false">
      <c r="A31" s="6" t="s">
        <v>64</v>
      </c>
      <c r="B31" s="5" t="n">
        <v>813343</v>
      </c>
      <c r="F31" s="0" t="s">
        <v>79</v>
      </c>
      <c r="G31" s="0" t="n">
        <v>85.56105</v>
      </c>
      <c r="H31" s="0" t="n">
        <v>127.029761</v>
      </c>
      <c r="I31" s="0" t="n">
        <v>81.783295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8"/>
  </cols>
  <sheetData>
    <row r="1" customFormat="false" ht="17.35" hidden="false" customHeight="false" outlineLevel="0" collapsed="false">
      <c r="A1" s="1" t="s">
        <v>93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82</v>
      </c>
      <c r="B3" s="3" t="s">
        <v>94</v>
      </c>
      <c r="C3" s="3" t="s">
        <v>95</v>
      </c>
    </row>
    <row r="4" customFormat="false" ht="15" hidden="false" customHeight="false" outlineLevel="0" collapsed="false">
      <c r="A4" s="6" t="s">
        <v>14</v>
      </c>
      <c r="B4" s="8" t="n">
        <v>0.001470375</v>
      </c>
      <c r="C4" s="20" t="n">
        <f aca="false">B4/SUM(B$4:B$11)*100</f>
        <v>0.000436697710391777</v>
      </c>
    </row>
    <row r="5" customFormat="false" ht="15" hidden="false" customHeight="false" outlineLevel="0" collapsed="false">
      <c r="A5" s="6" t="s">
        <v>15</v>
      </c>
      <c r="B5" s="8" t="n">
        <v>0.001370708</v>
      </c>
      <c r="C5" s="20" t="n">
        <f aca="false">B5/SUM(B$4:B$11)*100</f>
        <v>0.00040709685979134</v>
      </c>
    </row>
    <row r="6" customFormat="false" ht="15" hidden="false" customHeight="false" outlineLevel="0" collapsed="false">
      <c r="A6" s="6" t="s">
        <v>16</v>
      </c>
      <c r="B6" s="8" t="n">
        <v>1.66E-007</v>
      </c>
      <c r="C6" s="20" t="n">
        <f aca="false">B6/SUM(B$4:B$11)*100</f>
        <v>4.93015862790342E-008</v>
      </c>
    </row>
    <row r="7" customFormat="false" ht="15" hidden="false" customHeight="false" outlineLevel="0" collapsed="false">
      <c r="A7" s="6" t="s">
        <v>17</v>
      </c>
      <c r="B7" s="8" t="n">
        <v>87.719507334</v>
      </c>
      <c r="C7" s="20" t="n">
        <f aca="false">B7/SUM(B$4:B$11)*100</f>
        <v>26.0524750553107</v>
      </c>
    </row>
    <row r="8" customFormat="false" ht="15" hidden="false" customHeight="false" outlineLevel="0" collapsed="false">
      <c r="A8" s="6" t="s">
        <v>18</v>
      </c>
      <c r="B8" s="8" t="n">
        <v>127.507078833</v>
      </c>
      <c r="C8" s="20" t="n">
        <f aca="false">B8/SUM(B$4:B$11)*100</f>
        <v>37.8692846281492</v>
      </c>
    </row>
    <row r="9" customFormat="false" ht="15" hidden="false" customHeight="false" outlineLevel="0" collapsed="false">
      <c r="A9" s="6" t="s">
        <v>19</v>
      </c>
      <c r="B9" s="8" t="n">
        <v>0.415683625</v>
      </c>
      <c r="C9" s="20" t="n">
        <f aca="false">B9/SUM(B$4:B$11)*100</f>
        <v>0.12345700061879</v>
      </c>
    </row>
    <row r="10" customFormat="false" ht="15" hidden="false" customHeight="false" outlineLevel="0" collapsed="false">
      <c r="A10" s="6" t="s">
        <v>20</v>
      </c>
      <c r="B10" s="8" t="n">
        <v>39.892362084</v>
      </c>
      <c r="C10" s="20" t="n">
        <f aca="false">B10/SUM(B$4:B$11)*100</f>
        <v>11.8479321154145</v>
      </c>
    </row>
    <row r="11" customFormat="false" ht="15" hidden="false" customHeight="false" outlineLevel="0" collapsed="false">
      <c r="A11" s="6" t="s">
        <v>21</v>
      </c>
      <c r="B11" s="8" t="n">
        <v>81.165689042</v>
      </c>
      <c r="C11" s="20" t="n">
        <f aca="false">B11/SUM(B$4:B$11)*100</f>
        <v>24.1060073566351</v>
      </c>
    </row>
    <row r="12" customFormat="false" ht="15" hidden="false" customHeight="false" outlineLevel="0" collapsed="false">
      <c r="A12" s="13" t="s">
        <v>96</v>
      </c>
      <c r="B12" s="22" t="n">
        <f aca="false">SUM(B4:B11)</f>
        <v>336.703162167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25" t="s">
        <v>97</v>
      </c>
      <c r="B1" s="25"/>
      <c r="C1" s="25"/>
      <c r="D1" s="25"/>
      <c r="E1" s="25"/>
      <c r="F1" s="25"/>
      <c r="G1" s="25"/>
      <c r="H1" s="25"/>
    </row>
    <row r="2" customFormat="false" ht="15" hidden="false" customHeight="false" outlineLevel="0" collapsed="false">
      <c r="A2" s="2" t="s">
        <v>98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26" t="s">
        <v>99</v>
      </c>
    </row>
    <row r="5" customFormat="false" ht="15" hidden="false" customHeight="false" outlineLevel="0" collapsed="false">
      <c r="A5" s="3" t="s">
        <v>100</v>
      </c>
      <c r="B5" s="3" t="s">
        <v>101</v>
      </c>
      <c r="C5" s="3" t="s">
        <v>102</v>
      </c>
    </row>
    <row r="6" customFormat="false" ht="15" hidden="false" customHeight="false" outlineLevel="0" collapsed="false">
      <c r="A6" s="10" t="s">
        <v>2</v>
      </c>
      <c r="B6" s="10" t="s">
        <v>103</v>
      </c>
      <c r="C6" s="10" t="s">
        <v>104</v>
      </c>
    </row>
    <row r="7" customFormat="false" ht="15" hidden="false" customHeight="false" outlineLevel="0" collapsed="false">
      <c r="A7" s="10" t="s">
        <v>105</v>
      </c>
      <c r="B7" s="10" t="s">
        <v>106</v>
      </c>
      <c r="C7" s="10" t="s">
        <v>107</v>
      </c>
    </row>
    <row r="8" customFormat="false" ht="15" hidden="false" customHeight="false" outlineLevel="0" collapsed="false">
      <c r="A8" s="10" t="s">
        <v>108</v>
      </c>
      <c r="B8" s="10" t="s">
        <v>109</v>
      </c>
      <c r="C8" s="10" t="s">
        <v>110</v>
      </c>
    </row>
    <row r="9" customFormat="false" ht="15" hidden="false" customHeight="false" outlineLevel="0" collapsed="false">
      <c r="A9" s="10" t="s">
        <v>111</v>
      </c>
      <c r="B9" s="10" t="s">
        <v>112</v>
      </c>
      <c r="C9" s="10"/>
    </row>
    <row r="10" customFormat="false" ht="15" hidden="false" customHeight="false" outlineLevel="0" collapsed="false">
      <c r="A10" s="10" t="s">
        <v>113</v>
      </c>
      <c r="B10" s="10" t="s">
        <v>114</v>
      </c>
      <c r="C10" s="10"/>
    </row>
    <row r="11" customFormat="false" ht="15" hidden="false" customHeight="false" outlineLevel="0" collapsed="false">
      <c r="A11" s="10" t="s">
        <v>115</v>
      </c>
      <c r="B11" s="10" t="s">
        <v>116</v>
      </c>
      <c r="C11" s="10"/>
    </row>
    <row r="12" customFormat="false" ht="15" hidden="false" customHeight="false" outlineLevel="0" collapsed="false">
      <c r="A12" s="10" t="s">
        <v>117</v>
      </c>
      <c r="B12" s="10" t="s">
        <v>118</v>
      </c>
      <c r="C12" s="10"/>
    </row>
    <row r="13" customFormat="false" ht="15" hidden="false" customHeight="false" outlineLevel="0" collapsed="false">
      <c r="A13" s="10" t="s">
        <v>119</v>
      </c>
      <c r="B13" s="10" t="s">
        <v>120</v>
      </c>
      <c r="C13" s="10"/>
    </row>
    <row r="14" customFormat="false" ht="15" hidden="false" customHeight="false" outlineLevel="0" collapsed="false">
      <c r="A14" s="10" t="s">
        <v>121</v>
      </c>
      <c r="B14" s="10" t="s">
        <v>122</v>
      </c>
      <c r="C14" s="10"/>
    </row>
    <row r="15" customFormat="false" ht="15" hidden="false" customHeight="false" outlineLevel="0" collapsed="false">
      <c r="A15" s="10" t="s">
        <v>123</v>
      </c>
      <c r="B15" s="10" t="s">
        <v>124</v>
      </c>
      <c r="C15" s="10"/>
    </row>
    <row r="18" customFormat="false" ht="15" hidden="false" customHeight="false" outlineLevel="0" collapsed="false">
      <c r="A18" s="26" t="s">
        <v>125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7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126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127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27" t="s">
        <v>128</v>
      </c>
      <c r="B4" s="27"/>
      <c r="C4" s="27"/>
      <c r="D4" s="27"/>
      <c r="E4" s="27"/>
      <c r="F4" s="27"/>
      <c r="G4" s="27"/>
    </row>
    <row r="5" customFormat="false" ht="15" hidden="false" customHeight="false" outlineLevel="0" collapsed="false">
      <c r="A5" s="3" t="s">
        <v>129</v>
      </c>
      <c r="B5" s="3" t="s">
        <v>130</v>
      </c>
      <c r="C5" s="3" t="s">
        <v>131</v>
      </c>
    </row>
    <row r="6" customFormat="false" ht="15" hidden="false" customHeight="false" outlineLevel="0" collapsed="false">
      <c r="A6" s="28" t="s">
        <v>132</v>
      </c>
      <c r="B6" s="10" t="s">
        <v>133</v>
      </c>
      <c r="C6" s="29" t="s">
        <v>134</v>
      </c>
    </row>
    <row r="7" customFormat="false" ht="15" hidden="false" customHeight="false" outlineLevel="0" collapsed="false">
      <c r="A7" s="28" t="s">
        <v>135</v>
      </c>
      <c r="B7" s="10" t="s">
        <v>136</v>
      </c>
      <c r="C7" s="29" t="s">
        <v>134</v>
      </c>
    </row>
    <row r="8" customFormat="false" ht="15" hidden="false" customHeight="false" outlineLevel="0" collapsed="false">
      <c r="A8" s="28" t="s">
        <v>137</v>
      </c>
      <c r="B8" s="10" t="s">
        <v>138</v>
      </c>
      <c r="C8" s="29" t="s">
        <v>134</v>
      </c>
    </row>
    <row r="9" customFormat="false" ht="15" hidden="false" customHeight="false" outlineLevel="0" collapsed="false">
      <c r="A9" s="28" t="s">
        <v>139</v>
      </c>
      <c r="B9" s="10" t="s">
        <v>140</v>
      </c>
      <c r="C9" s="29" t="s">
        <v>134</v>
      </c>
    </row>
    <row r="11" customFormat="false" ht="15" hidden="false" customHeight="false" outlineLevel="0" collapsed="false">
      <c r="A11" s="27" t="s">
        <v>141</v>
      </c>
      <c r="B11" s="27"/>
      <c r="C11" s="27"/>
      <c r="D11" s="27"/>
      <c r="E11" s="27"/>
      <c r="F11" s="27"/>
      <c r="G11" s="27"/>
    </row>
    <row r="12" customFormat="false" ht="15" hidden="false" customHeight="false" outlineLevel="0" collapsed="false">
      <c r="A12" s="3" t="s">
        <v>129</v>
      </c>
      <c r="B12" s="3" t="s">
        <v>130</v>
      </c>
      <c r="C12" s="3" t="s">
        <v>131</v>
      </c>
    </row>
    <row r="13" customFormat="false" ht="15" hidden="false" customHeight="false" outlineLevel="0" collapsed="false">
      <c r="A13" s="28" t="s">
        <v>142</v>
      </c>
      <c r="B13" s="10" t="s">
        <v>143</v>
      </c>
      <c r="C13" s="29" t="s">
        <v>134</v>
      </c>
    </row>
    <row r="14" customFormat="false" ht="15" hidden="false" customHeight="false" outlineLevel="0" collapsed="false">
      <c r="A14" s="28" t="s">
        <v>144</v>
      </c>
      <c r="B14" s="10" t="s">
        <v>145</v>
      </c>
      <c r="C14" s="29" t="s">
        <v>134</v>
      </c>
    </row>
    <row r="15" customFormat="false" ht="15" hidden="false" customHeight="false" outlineLevel="0" collapsed="false">
      <c r="A15" s="28" t="s">
        <v>146</v>
      </c>
      <c r="B15" s="10" t="s">
        <v>147</v>
      </c>
      <c r="C15" s="29" t="s">
        <v>134</v>
      </c>
    </row>
    <row r="16" customFormat="false" ht="15" hidden="false" customHeight="false" outlineLevel="0" collapsed="false">
      <c r="A16" s="28" t="s">
        <v>148</v>
      </c>
      <c r="B16" s="10" t="s">
        <v>149</v>
      </c>
      <c r="C16" s="29" t="s">
        <v>134</v>
      </c>
    </row>
    <row r="18" customFormat="false" ht="15" hidden="false" customHeight="false" outlineLevel="0" collapsed="false">
      <c r="A18" s="27" t="s">
        <v>150</v>
      </c>
      <c r="B18" s="27"/>
      <c r="C18" s="27"/>
      <c r="D18" s="27"/>
      <c r="E18" s="27"/>
      <c r="F18" s="27"/>
      <c r="G18" s="27"/>
    </row>
    <row r="19" customFormat="false" ht="15" hidden="false" customHeight="false" outlineLevel="0" collapsed="false">
      <c r="A19" s="3" t="s">
        <v>129</v>
      </c>
      <c r="B19" s="3" t="s">
        <v>130</v>
      </c>
      <c r="C19" s="3" t="s">
        <v>131</v>
      </c>
    </row>
    <row r="20" customFormat="false" ht="15" hidden="false" customHeight="false" outlineLevel="0" collapsed="false">
      <c r="A20" s="28" t="s">
        <v>151</v>
      </c>
      <c r="B20" s="10" t="s">
        <v>152</v>
      </c>
      <c r="C20" s="30" t="s">
        <v>153</v>
      </c>
    </row>
    <row r="21" customFormat="false" ht="15" hidden="false" customHeight="false" outlineLevel="0" collapsed="false">
      <c r="A21" s="28" t="s">
        <v>154</v>
      </c>
      <c r="B21" s="10" t="s">
        <v>155</v>
      </c>
      <c r="C21" s="30" t="s">
        <v>153</v>
      </c>
    </row>
    <row r="22" customFormat="false" ht="15" hidden="false" customHeight="false" outlineLevel="0" collapsed="false">
      <c r="A22" s="28" t="s">
        <v>156</v>
      </c>
      <c r="B22" s="10" t="s">
        <v>157</v>
      </c>
      <c r="C22" s="30" t="s">
        <v>153</v>
      </c>
    </row>
    <row r="23" customFormat="false" ht="15" hidden="false" customHeight="false" outlineLevel="0" collapsed="false">
      <c r="A23" s="28" t="s">
        <v>158</v>
      </c>
      <c r="B23" s="10" t="s">
        <v>159</v>
      </c>
      <c r="C23" s="30" t="s">
        <v>153</v>
      </c>
    </row>
    <row r="25" customFormat="false" ht="15" hidden="false" customHeight="false" outlineLevel="0" collapsed="false">
      <c r="A25" s="27" t="s">
        <v>160</v>
      </c>
      <c r="B25" s="27"/>
      <c r="C25" s="27"/>
      <c r="D25" s="27"/>
      <c r="E25" s="27"/>
      <c r="F25" s="27"/>
      <c r="G25" s="27"/>
    </row>
    <row r="26" customFormat="false" ht="15" hidden="false" customHeight="false" outlineLevel="0" collapsed="false">
      <c r="A26" s="3" t="s">
        <v>129</v>
      </c>
      <c r="B26" s="3" t="s">
        <v>130</v>
      </c>
      <c r="C26" s="3" t="s">
        <v>131</v>
      </c>
    </row>
    <row r="27" customFormat="false" ht="15" hidden="false" customHeight="false" outlineLevel="0" collapsed="false">
      <c r="A27" s="28" t="s">
        <v>161</v>
      </c>
      <c r="B27" s="10" t="s">
        <v>162</v>
      </c>
      <c r="C27" s="31" t="s">
        <v>163</v>
      </c>
    </row>
    <row r="28" customFormat="false" ht="15" hidden="false" customHeight="false" outlineLevel="0" collapsed="false">
      <c r="A28" s="28" t="s">
        <v>164</v>
      </c>
      <c r="B28" s="10" t="s">
        <v>165</v>
      </c>
      <c r="C28" s="31" t="s">
        <v>163</v>
      </c>
    </row>
    <row r="29" customFormat="false" ht="15" hidden="false" customHeight="false" outlineLevel="0" collapsed="false">
      <c r="A29" s="28" t="s">
        <v>166</v>
      </c>
      <c r="B29" s="10" t="s">
        <v>167</v>
      </c>
      <c r="C29" s="31" t="s">
        <v>163</v>
      </c>
    </row>
    <row r="31" customFormat="false" ht="15" hidden="false" customHeight="false" outlineLevel="0" collapsed="false">
      <c r="A31" s="27" t="s">
        <v>168</v>
      </c>
      <c r="B31" s="27"/>
      <c r="C31" s="27"/>
      <c r="D31" s="27"/>
      <c r="E31" s="27"/>
      <c r="F31" s="27"/>
      <c r="G31" s="27"/>
    </row>
    <row r="32" customFormat="false" ht="15" hidden="false" customHeight="false" outlineLevel="0" collapsed="false">
      <c r="A32" s="3" t="s">
        <v>129</v>
      </c>
      <c r="B32" s="3" t="s">
        <v>130</v>
      </c>
      <c r="C32" s="3" t="s">
        <v>131</v>
      </c>
    </row>
    <row r="33" customFormat="false" ht="15" hidden="false" customHeight="false" outlineLevel="0" collapsed="false">
      <c r="A33" s="28" t="s">
        <v>169</v>
      </c>
      <c r="B33" s="10" t="s">
        <v>170</v>
      </c>
      <c r="C33" s="30" t="s">
        <v>153</v>
      </c>
    </row>
    <row r="34" customFormat="false" ht="15" hidden="false" customHeight="false" outlineLevel="0" collapsed="false">
      <c r="A34" s="28" t="s">
        <v>171</v>
      </c>
      <c r="B34" s="10" t="s">
        <v>172</v>
      </c>
      <c r="C34" s="30" t="s">
        <v>153</v>
      </c>
    </row>
    <row r="35" customFormat="false" ht="15" hidden="false" customHeight="false" outlineLevel="0" collapsed="false">
      <c r="A35" s="28" t="s">
        <v>173</v>
      </c>
      <c r="B35" s="10" t="s">
        <v>174</v>
      </c>
      <c r="C35" s="30" t="s">
        <v>153</v>
      </c>
    </row>
    <row r="37" customFormat="false" ht="15" hidden="false" customHeight="false" outlineLevel="0" collapsed="false">
      <c r="A37" s="27" t="s">
        <v>175</v>
      </c>
      <c r="B37" s="27"/>
      <c r="C37" s="27"/>
      <c r="D37" s="27"/>
      <c r="E37" s="27"/>
      <c r="F37" s="27"/>
      <c r="G37" s="27"/>
    </row>
    <row r="38" customFormat="false" ht="15" hidden="false" customHeight="false" outlineLevel="0" collapsed="false">
      <c r="A38" s="3" t="s">
        <v>129</v>
      </c>
      <c r="B38" s="3" t="s">
        <v>130</v>
      </c>
      <c r="C38" s="3" t="s">
        <v>131</v>
      </c>
    </row>
    <row r="39" customFormat="false" ht="15" hidden="false" customHeight="false" outlineLevel="0" collapsed="false">
      <c r="A39" s="28" t="s">
        <v>176</v>
      </c>
      <c r="B39" s="10" t="s">
        <v>177</v>
      </c>
      <c r="C39" s="31" t="s">
        <v>163</v>
      </c>
    </row>
    <row r="40" customFormat="false" ht="15" hidden="false" customHeight="false" outlineLevel="0" collapsed="false">
      <c r="A40" s="28" t="s">
        <v>178</v>
      </c>
      <c r="B40" s="10" t="s">
        <v>179</v>
      </c>
      <c r="C40" s="31" t="s">
        <v>163</v>
      </c>
    </row>
    <row r="41" customFormat="false" ht="15" hidden="false" customHeight="false" outlineLevel="0" collapsed="false">
      <c r="A41" s="28" t="s">
        <v>180</v>
      </c>
      <c r="B41" s="10" t="s">
        <v>181</v>
      </c>
      <c r="C41" s="31" t="s">
        <v>163</v>
      </c>
    </row>
    <row r="42" customFormat="false" ht="15" hidden="false" customHeight="false" outlineLevel="0" collapsed="false">
      <c r="A42" s="28" t="s">
        <v>182</v>
      </c>
      <c r="B42" s="10" t="s">
        <v>183</v>
      </c>
      <c r="C42" s="31" t="s">
        <v>163</v>
      </c>
    </row>
  </sheetData>
  <mergeCells count="8">
    <mergeCell ref="A1:G1"/>
    <mergeCell ref="A2:G2"/>
    <mergeCell ref="A4:G4"/>
    <mergeCell ref="A11:G11"/>
    <mergeCell ref="A18:G18"/>
    <mergeCell ref="A25:G25"/>
    <mergeCell ref="A31:G31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2026-03-24T10:38:44Z</dcterms:created>
  <dc:creator>openpyxl</dc:creator>
  <dc:description/>
  <dc:language>en-US</dc:language>
  <cp:lastModifiedBy/>
  <dcterms:modified xsi:type="dcterms:W3CDTF">2026-03-24T18:38:50Z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