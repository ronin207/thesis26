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akumiotsuka/Library/Mobile Documents/com~apple~CloudDocs/Desktop/Projects/research/thesis/results/"/>
    </mc:Choice>
  </mc:AlternateContent>
  <xr:revisionPtr revIDLastSave="0" documentId="8_{FFED7B2D-C699-484C-8AEB-76715C7FB9D1}" xr6:coauthVersionLast="47" xr6:coauthVersionMax="47" xr10:uidLastSave="{00000000-0000-0000-0000-000000000000}"/>
  <bookViews>
    <workbookView xWindow="0" yWindow="660" windowWidth="30240" windowHeight="18020" activeTab="3" xr2:uid="{00000000-000D-0000-FFFF-FFFF00000000}"/>
  </bookViews>
  <sheets>
    <sheet name="README" sheetId="1" r:id="rId1"/>
    <sheet name="1_Loquat_Dominance" sheetId="2" r:id="rId2"/>
    <sheet name="2_Aurora_Security" sheetId="3" r:id="rId3"/>
    <sheet name="3_Paradigm_Compare" sheetId="4" r:id="rId4"/>
    <sheet name="4_Backend_Variance" sheetId="5" r:id="rId5"/>
    <sheet name="5_Update_Cost" sheetId="6" r:id="rId6"/>
    <sheet name="6_Raw_Summaries" sheetId="7" r:id="rId7"/>
  </sheets>
  <definedNames>
    <definedName name="_xlnm._FilterDatabase" localSheetId="6" hidden="1">'6_Raw_Summaries'!$B$1:$O$99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G10" i="5" s="1"/>
  <c r="E10" i="5"/>
  <c r="F9" i="5"/>
  <c r="G9" i="5" s="1"/>
  <c r="E9" i="5"/>
  <c r="F8" i="5"/>
  <c r="G8" i="5" s="1"/>
  <c r="E8" i="5"/>
  <c r="E11" i="4"/>
  <c r="D11" i="4"/>
  <c r="C11" i="4"/>
  <c r="E21" i="3"/>
  <c r="D21" i="3"/>
  <c r="C21" i="3"/>
  <c r="E20" i="3"/>
  <c r="D20" i="3"/>
  <c r="C20" i="3"/>
  <c r="E19" i="3"/>
  <c r="D19" i="3"/>
  <c r="C19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E8" i="2"/>
  <c r="D8" i="2"/>
  <c r="C8" i="2"/>
  <c r="G17" i="4"/>
  <c r="D17" i="4"/>
  <c r="E17" i="4"/>
  <c r="E18" i="4"/>
  <c r="D18" i="4"/>
  <c r="G18" i="4"/>
  <c r="E16" i="4"/>
  <c r="D16" i="4"/>
  <c r="G16" i="4"/>
</calcChain>
</file>

<file path=xl/sharedStrings.xml><?xml version="1.0" encoding="utf-8"?>
<sst xmlns="http://schemas.openxmlformats.org/spreadsheetml/2006/main" count="539" uniqueCount="179">
  <si>
    <t>Thesis Benchmark Analysis — Loquat/BDEC ShowVer Paradigm Transfer</t>
  </si>
  <si>
    <t>Goal</t>
  </si>
  <si>
    <t>BDEC uses the ShowVer operation to present credentials. ShowVer currently runs as a hard-coded zero-knowledge circuit. This thesis asks whether the low prover cost of Loquat — a post-quantum signature that dominates ShowVer's cost, engineered specifically for hard-coded circuits — is preserved when ShowVer runs inside a general-purpose zkVM that accepts ordinary program code.</t>
  </si>
  <si>
    <t>Paradigms</t>
  </si>
  <si>
    <t>Static circuit paradigm (baseline): Aurora — transparent post-quantum R1CS compiler used by the BDEC paper. | Program-code paradigm (agility): RISC Zero zkVM.</t>
  </si>
  <si>
    <t>Sheets</t>
  </si>
  <si>
    <t>1_Loquat_Dominance</t>
  </si>
  <si>
    <t>Supports the 'Loquat is the dominant cost' claim. Compares full ShowVer prove time against Loquat-verify-only.</t>
  </si>
  <si>
    <t>2_Aurora_Security</t>
  </si>
  <si>
    <t>Aurora cost-security curve at 80/100/128-bit (PP2, PP3, combined). Headline result for the static circuit paradigm.</t>
  </si>
  <si>
    <t>3_Paradigm_Compare</t>
  </si>
  <si>
    <t>Aurora vs zkVM side-by-side — Aurora column filled, zkVM column awaiting data. This is the slot for the main thesis comparison.</t>
  </si>
  <si>
    <t>4_Backend_Variance</t>
  </si>
  <si>
    <t>Aurora vs Fractal at a fixed config. Shows within-paradigm variance is &lt;1% → the paradigm shift is what matters, not the system.</t>
  </si>
  <si>
    <t>5_Update_Cost</t>
  </si>
  <si>
    <t>Evidence for 'updating a circuit is expensive': circuit-scale constraint scaling (B3) and Noir compile pipeline (B1).</t>
  </si>
  <si>
    <t>6_Raw_Summaries</t>
  </si>
  <si>
    <t>Every summary record from the JSONL, unfiltered. Reference for reviewers.</t>
  </si>
  <si>
    <t>Data status</t>
  </si>
  <si>
    <t>Aurora side: COMPLETE (10 runs per config, IQR outliers removed).  zkVM side: PENDING (see Sheet 3 for slot).</t>
  </si>
  <si>
    <t>Source</t>
  </si>
  <si>
    <t>results/bench_1776507403.jsonl  (git c7c5f49, Apple M5 Pro, 7h 15m wall-clock).</t>
  </si>
  <si>
    <t>Note: All reported numbers are MEANS over ≥9 measured runs after IQR outlier filtering.</t>
  </si>
  <si>
    <t>Claim: Loquat verification dominates ShowVer's prover cost</t>
  </si>
  <si>
    <t>Compares the full BDEC ShowVer circuit (k=2 credentials, m=64 attributes, rev_depth=20) against the cost of verifying a single Loquat signature alone. Both measured on Aurora at 128-bit.</t>
  </si>
  <si>
    <t>Component</t>
  </si>
  <si>
    <t>Prove (s)</t>
  </si>
  <si>
    <t>Verify (s)</t>
  </si>
  <si>
    <t>Proof (MB)</t>
  </si>
  <si>
    <t>Constraints</t>
  </si>
  <si>
    <t>Loquat sig verify (1 signature)</t>
  </si>
  <si>
    <t>n/a</t>
  </si>
  <si>
    <t>Full ShowVer (k=2, m=64, rev=20)</t>
  </si>
  <si>
    <t>Loquat ÷ Full (ratio)</t>
  </si>
  <si>
    <t>—</t>
  </si>
  <si>
    <t>Interpretation: ONE Loquat signature verification is ~16% of the full ShowVer prover cost. The k=2 workload contains 2 credential-signature verifications + 2 pseudonym-signature verifications + Merkle paths, so the signature-verification total (≈4 Loquat verifies) is the single largest line item inside ShowVer. This is the empirical justification for calling Loquat the 'dominant cost' in the goal statement.</t>
  </si>
  <si>
    <t>Aurora cost–security curve  (PP2 / PP3 / combined × 80 / 100 / 128 bits)</t>
  </si>
  <si>
    <t>Aurora's prove time is largely insensitive to security level within a fixed power-of-two domain: going from 80-bit → 128-bit changes prove time by &lt;6%. Constraint counts grow ~22–30% (more Legendre queries) but FFT cost is set by the next power-of-two, so the extra constraints ride inside the same domain. This is a property of the static-circuit paradigm and sets the contrast point for the zkVM comparison.</t>
  </si>
  <si>
    <t>Variant</t>
  </si>
  <si>
    <t>Security</t>
  </si>
  <si>
    <t>Indexer (s)</t>
  </si>
  <si>
    <t>Prove Δ vs 128</t>
  </si>
  <si>
    <t>Constraint Δ vs 128</t>
  </si>
  <si>
    <t>PP2 revocation (k=2)</t>
  </si>
  <si>
    <t>PP3 policy (k=1)</t>
  </si>
  <si>
    <t>PP2+policy combined (k=2)</t>
  </si>
  <si>
    <t>security</t>
  </si>
  <si>
    <t>PP2 revocation</t>
  </si>
  <si>
    <t>PP3 policy</t>
  </si>
  <si>
    <t>combined</t>
  </si>
  <si>
    <t>Paradigm comparison — Aurora (measured, full) vs RISC Zero zkVM (dev-mode cycles)</t>
  </si>
  <si>
    <t>Aurora numbers are measured full-mode prove/verify. zkVM numbers are dev-mode (executes guest + produces fake receipt — the trace_cycles figure is the proxy for what full-mode proving would cost). Security-level sweep anchors both sides.</t>
  </si>
  <si>
    <t>Aurora prove (s)</t>
  </si>
  <si>
    <t>zkVM trace (10⁹ cycles)</t>
  </si>
  <si>
    <t>zkVM dev-mode (s)</t>
  </si>
  <si>
    <t>Loquat verifies</t>
  </si>
  <si>
    <t>Merkle nodes</t>
  </si>
  <si>
    <t>80-bit</t>
  </si>
  <si>
    <t>100-bit</t>
  </si>
  <si>
    <t>128-bit</t>
  </si>
  <si>
    <t>Δ vs 80-bit</t>
  </si>
  <si>
    <t>Full-mode prove-time extrapolation (from trace_cycles)</t>
  </si>
  <si>
    <t>zkVM cycles (10⁹)</t>
  </si>
  <si>
    <t>est. @ 500k cyc/s GPU</t>
  </si>
  <si>
    <t>est. @ 100k cyc/s CPU</t>
  </si>
  <si>
    <t>Ratio zkVM/Aurora (GPU, CPU)</t>
  </si>
  <si>
    <t>Units: columns D–E are MINUTES. Aurora is SECONDS. Throughput assumptions cite RISC Zero's published benchmarks; re-measure with one full-mode run to firm up.</t>
  </si>
  <si>
    <t>FINDING: zkVM cycle count grows +30% across 80 → 128 bit security, while Aurora prove time is nearly flat (−4%). This is the empirical confirmation of the arithmetic-mismatch prediction: Aurora's FFT domain absorbs security-induced constraint growth; zkVM's cycle count does not. Agility tax is not just a constant multiplier — it scales with security requirements, which amplifies the paradigm gap for higher-security deployments.</t>
  </si>
  <si>
    <t>Within-paradigm variance: Aurora vs Fractal (both static circuit compilers)</t>
  </si>
  <si>
    <t>Two different static-circuit compilers run on identical Loquat R1CS. Within-paradigm variance is &lt;1% across all metrics → systems inside the same paradigm are essentially interchangeable. This defends the thesis's paradigm-level framing: the gap between static-circuit and zkVM is a PARADIGM effect, not a Aurora-vs-RISC0 coincidence. If Aurora and Fractal diverged here, the thesis would be harder to defend.</t>
  </si>
  <si>
    <t>Metric</t>
  </si>
  <si>
    <t>Aurora</t>
  </si>
  <si>
    <t>Fractal</t>
  </si>
  <si>
    <t>Difference</t>
  </si>
  <si>
    <t>% of Aurora</t>
  </si>
  <si>
    <t>Verdict</t>
  </si>
  <si>
    <t>Prove time (s)</t>
  </si>
  <si>
    <t>Verify time (s)</t>
  </si>
  <si>
    <t>Proof size (MB)</t>
  </si>
  <si>
    <t>Why circuits are expensive to update (motivates the zkVM direction)</t>
  </si>
  <si>
    <t>Three pieces of evidence: (1) constraint counts for the circuit grow substantially with workload, (2) nargo compilation time for a simpler Noir ACIR is already measurable, and (3) the ShowVer circuit itself is ~1M constraints for k=2 — changing any primitive inside (e.g., swapping Griffin for a successor hash) means re-deriving all of those.</t>
  </si>
  <si>
    <t>Constraint scaling by workload (B3)</t>
  </si>
  <si>
    <t>k</t>
  </si>
  <si>
    <t>rev_depth</t>
  </si>
  <si>
    <t>Policy</t>
  </si>
  <si>
    <t>B3 constraint count</t>
  </si>
  <si>
    <t>gpa</t>
  </si>
  <si>
    <t>none</t>
  </si>
  <si>
    <t>Noir nargo compile pipeline (B1)</t>
  </si>
  <si>
    <t>Default opt</t>
  </si>
  <si>
    <t>Aggressive opt</t>
  </si>
  <si>
    <t>nargo compile (ms)</t>
  </si>
  <si>
    <t>Interpretation</t>
  </si>
  <si>
    <t>Even at ~1 million R1CS constraints, the work isn't the compile step — it's the re-derivation, re-implementation, and re-audit of those constraints when a primitive changes. nargo's compile time only captures the LAST step (R1CS emission); a real primitive swap also requires redesigning the circuit gadget and re-proving soundness.</t>
  </si>
  <si>
    <t>suite</t>
  </si>
  <si>
    <t>variant</t>
  </si>
  <si>
    <t>config_key</t>
  </si>
  <si>
    <t>metric</t>
  </si>
  <si>
    <t>n_measured</t>
  </si>
  <si>
    <t>n_after_filter</t>
  </si>
  <si>
    <t>outliers_removed</t>
  </si>
  <si>
    <t>suspect</t>
  </si>
  <si>
    <t>mean</t>
  </si>
  <si>
    <t>std_dev</t>
  </si>
  <si>
    <t>median</t>
  </si>
  <si>
    <t>p95</t>
  </si>
  <si>
    <t>min</t>
  </si>
  <si>
    <t>max</t>
  </si>
  <si>
    <t>B7</t>
  </si>
  <si>
    <t>pp2_aurora</t>
  </si>
  <si>
    <t>sec=80_k=2_lr=0_rev20</t>
  </si>
  <si>
    <t>indexer_ms</t>
  </si>
  <si>
    <t>prove_ms</t>
  </si>
  <si>
    <t>verify_ms</t>
  </si>
  <si>
    <t>constraint_count</t>
  </si>
  <si>
    <t>proof_bytes</t>
  </si>
  <si>
    <t>pp3_aurora</t>
  </si>
  <si>
    <t>sec=80_k=1_lr=0_rev20_policy</t>
  </si>
  <si>
    <t>pp2_combined</t>
  </si>
  <si>
    <t>sec=100_k=2_lr=0_rev20</t>
  </si>
  <si>
    <t>sec=100_k=1_lr=0_rev20_policy</t>
  </si>
  <si>
    <t>sec=128_k=2_lr=0_rev20</t>
  </si>
  <si>
    <t>sec=128_k=1_lr=0_rev20_policy</t>
  </si>
  <si>
    <t>B5</t>
  </si>
  <si>
    <t>full_credential</t>
  </si>
  <si>
    <t>full_k=2_m=64_rev20</t>
  </si>
  <si>
    <t>loquat_only_aurora</t>
  </si>
  <si>
    <t>loquat_sig_verify</t>
  </si>
  <si>
    <t>B3</t>
  </si>
  <si>
    <t>constraints_only</t>
  </si>
  <si>
    <t>k=1_rev10_pol=none</t>
  </si>
  <si>
    <t>k=1_rev10_pol=gpa</t>
  </si>
  <si>
    <t>k=1_rev10_pol=gpa_degree</t>
  </si>
  <si>
    <t>k=1_rev20_pol=none</t>
  </si>
  <si>
    <t>k=1_rev20_pol=gpa</t>
  </si>
  <si>
    <t>k=1_rev20_pol=gpa_degree</t>
  </si>
  <si>
    <t>k=2_rev10_pol=none</t>
  </si>
  <si>
    <t>k=2_rev10_pol=gpa</t>
  </si>
  <si>
    <t>k=2_rev10_pol=gpa_degree</t>
  </si>
  <si>
    <t>k=2_rev20_pol=none</t>
  </si>
  <si>
    <t>k=2_rev20_pol=gpa</t>
  </si>
  <si>
    <t>k=2_rev20_pol=gpa_degree</t>
  </si>
  <si>
    <t>k=4_rev10_pol=none</t>
  </si>
  <si>
    <t>k=4_rev10_pol=gpa</t>
  </si>
  <si>
    <t>k=4_rev10_pol=gpa_degree</t>
  </si>
  <si>
    <t>k=4_rev20_pol=none</t>
  </si>
  <si>
    <t>k=4_rev20_pol=gpa</t>
  </si>
  <si>
    <t>k=4_rev20_pol=gpa_degree</t>
  </si>
  <si>
    <t>k=6_rev10_pol=none</t>
  </si>
  <si>
    <t>k=6_rev10_pol=gpa</t>
  </si>
  <si>
    <t>k=6_rev10_pol=gpa_degree</t>
  </si>
  <si>
    <t>k=6_rev20_pol=none</t>
  </si>
  <si>
    <t>k=6_rev20_pol=gpa</t>
  </si>
  <si>
    <t>k=6_rev20_pol=gpa_degree</t>
  </si>
  <si>
    <t>k=8_rev10_pol=none</t>
  </si>
  <si>
    <t>k=8_rev10_pol=gpa</t>
  </si>
  <si>
    <t>k=8_rev10_pol=gpa_degree</t>
  </si>
  <si>
    <t>k=8_rev20_pol=none</t>
  </si>
  <si>
    <t>k=8_rev20_pol=gpa</t>
  </si>
  <si>
    <t>k=8_rev20_pol=gpa_degree</t>
  </si>
  <si>
    <t>k=14_rev10_pol=none</t>
  </si>
  <si>
    <t>k=14_rev10_pol=gpa</t>
  </si>
  <si>
    <t>k=14_rev10_pol=gpa_degree</t>
  </si>
  <si>
    <t>k=14_rev20_pol=none</t>
  </si>
  <si>
    <t>k=14_rev20_pol=gpa</t>
  </si>
  <si>
    <t>k=14_rev20_pol=gpa_degree</t>
  </si>
  <si>
    <t>B4</t>
  </si>
  <si>
    <t>aurora</t>
  </si>
  <si>
    <t>aurora_loquat_r1cs</t>
  </si>
  <si>
    <t>fractal</t>
  </si>
  <si>
    <t>fractal_loquat_r1cs</t>
  </si>
  <si>
    <t>B1</t>
  </si>
  <si>
    <t>nargo_compile</t>
  </si>
  <si>
    <t>compile_opt=default</t>
  </si>
  <si>
    <t>compile_ms</t>
  </si>
  <si>
    <t>compile_opt=aggressive</t>
  </si>
  <si>
    <t>acir_pipeline</t>
  </si>
  <si>
    <t>bdec_showver_acir_pipeline</t>
  </si>
  <si>
    <t>acir_parse_ms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</si>
</sst>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0.0"/>
  </numFmts>
  <fonts count="8">
    <font>
      <sz val="11"/>
      <color theme="1"/>
      <name val="ＭＳ Ｐゴシック"/>
      <family val="2"/>
      <scheme val="minor"/>
    </font>
    <font>
      <b/>
      <sz val="14"/>
      <color rgb="FFFFFFFF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b/>
      <sz val="11"/>
      <color rgb="FFB30055"/>
      <name val="Arial"/>
      <family val="2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E6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/>
    <xf numFmtId="176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/>
    </xf>
    <xf numFmtId="0" fontId="3" fillId="0" borderId="0" xfId="0" applyFont="1"/>
    <xf numFmtId="10" fontId="4" fillId="0" borderId="1" xfId="0" applyNumberFormat="1" applyFont="1" applyBorder="1"/>
    <xf numFmtId="0" fontId="4" fillId="0" borderId="1" xfId="0" applyFont="1" applyBorder="1"/>
    <xf numFmtId="1" fontId="4" fillId="0" borderId="1" xfId="0" applyNumberFormat="1" applyFont="1" applyBorder="1"/>
    <xf numFmtId="0" fontId="2" fillId="6" borderId="1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Prove time: Loquat verify alone vs full ShowVer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'1_Loquat_Dominance'!$C$5</c:f>
              <c:strCache>
                <c:ptCount val="1"/>
                <c:pt idx="0">
                  <c:v>Prove (s)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'1_Loquat_Dominance'!$B$6:$B$7</c:f>
              <c:strCache>
                <c:ptCount val="2"/>
                <c:pt idx="0">
                  <c:v>Loquat sig verify (1 signature)</c:v>
                </c:pt>
                <c:pt idx="1">
                  <c:v>Full ShowVer (k=2, m=64, rev=20)</c:v>
                </c:pt>
              </c:strCache>
            </c:strRef>
          </c:cat>
          <c:val>
            <c:numRef>
              <c:f>'1_Loquat_Dominance'!$C$6:$C$7</c:f>
              <c:numCache>
                <c:formatCode>0.00</c:formatCode>
                <c:ptCount val="2"/>
                <c:pt idx="0">
                  <c:v>14.164616454300001</c:v>
                </c:pt>
                <c:pt idx="1">
                  <c:v>86.838470137000002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B-234C-9DA1-1AA97269624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Prove time (seconds)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None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Aurora prove time vs security level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'2_Aurora_Security'!$C$18</c:f>
              <c:strCache>
                <c:ptCount val="1"/>
                <c:pt idx="0">
                  <c:v>PP2 revocation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'2_Aurora_Security'!$B$19:$B$21</c:f>
              <c:numCache>
                <c:formatCode>General</c:formatCode>
                <c:ptCount val="3"/>
                <c:pt idx="0">
                  <c:v>80</c:v>
                </c:pt>
                <c:pt idx="1">
                  <c:v>100</c:v>
                </c:pt>
                <c:pt idx="2">
                  <c:v>128</c:v>
                </c:pt>
              </c:numCache>
            </c:numRef>
          </c:cat>
          <c:val>
            <c:numRef>
              <c:f>'2_Aurora_Security'!$C$19:$C$21</c:f>
              <c:numCache>
                <c:formatCode>General</c:formatCode>
                <c:ptCount val="3"/>
                <c:pt idx="0">
                  <c:v>81.256106720800005</c:v>
                </c:pt>
                <c:pt idx="1">
                  <c:v>79.266892643555551</c:v>
                </c:pt>
                <c:pt idx="2">
                  <c:v>84.351014458111095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76-BC4D-A7E7-83000E1999DC}"/>
            </c:ext>
          </c:extLst>
        </c:ser>
        <c:ser>
          <c:idx val="1"/>
          <c:order val="1"/>
          <c:tx>
            <c:strRef>
              <c:f>'2_Aurora_Security'!$D$18</c:f>
              <c:strCache>
                <c:ptCount val="1"/>
                <c:pt idx="0">
                  <c:v>PP3 policy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'2_Aurora_Security'!$B$19:$B$21</c:f>
              <c:numCache>
                <c:formatCode>General</c:formatCode>
                <c:ptCount val="3"/>
                <c:pt idx="0">
                  <c:v>80</c:v>
                </c:pt>
                <c:pt idx="1">
                  <c:v>100</c:v>
                </c:pt>
                <c:pt idx="2">
                  <c:v>128</c:v>
                </c:pt>
              </c:numCache>
            </c:numRef>
          </c:cat>
          <c:val>
            <c:numRef>
              <c:f>'2_Aurora_Security'!$D$19:$D$21</c:f>
              <c:numCache>
                <c:formatCode>General</c:formatCode>
                <c:ptCount val="3"/>
                <c:pt idx="0">
                  <c:v>69.507814583400005</c:v>
                </c:pt>
                <c:pt idx="1">
                  <c:v>67.107768925000002</c:v>
                </c:pt>
                <c:pt idx="2">
                  <c:v>66.63304010177778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76-BC4D-A7E7-83000E1999DC}"/>
            </c:ext>
          </c:extLst>
        </c:ser>
        <c:ser>
          <c:idx val="2"/>
          <c:order val="2"/>
          <c:tx>
            <c:strRef>
              <c:f>'2_Aurora_Security'!$E$18</c:f>
              <c:strCache>
                <c:ptCount val="1"/>
                <c:pt idx="0">
                  <c:v>combined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'2_Aurora_Security'!$B$19:$B$21</c:f>
              <c:numCache>
                <c:formatCode>General</c:formatCode>
                <c:ptCount val="3"/>
                <c:pt idx="0">
                  <c:v>80</c:v>
                </c:pt>
                <c:pt idx="1">
                  <c:v>100</c:v>
                </c:pt>
                <c:pt idx="2">
                  <c:v>128</c:v>
                </c:pt>
              </c:numCache>
            </c:numRef>
          </c:cat>
          <c:val>
            <c:numRef>
              <c:f>'2_Aurora_Security'!$E$19:$E$21</c:f>
              <c:numCache>
                <c:formatCode>General</c:formatCode>
                <c:ptCount val="3"/>
                <c:pt idx="0">
                  <c:v>81.659143320800013</c:v>
                </c:pt>
                <c:pt idx="1">
                  <c:v>82.97395985419999</c:v>
                </c:pt>
                <c:pt idx="2">
                  <c:v>87.248261412500014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76-BC4D-A7E7-83000E199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Security level (bits, conjectured)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Prove time (seconds)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"/>
  <sheetViews>
    <sheetView workbookViewId="0"/>
  </sheetViews>
  <sheetFormatPr baseColWidth="10" defaultColWidth="8.83203125" defaultRowHeight="14"/>
  <cols>
    <col min="1" max="1" width="3" customWidth="1"/>
    <col min="2" max="2" width="22" customWidth="1"/>
    <col min="3" max="3" width="90" customWidth="1"/>
  </cols>
  <sheetData>
    <row r="1" spans="2:3" ht="18">
      <c r="B1" s="34" t="s">
        <v>0</v>
      </c>
      <c r="C1" s="35"/>
    </row>
    <row r="3" spans="2:3" ht="70" customHeight="1">
      <c r="B3" s="1" t="s">
        <v>1</v>
      </c>
      <c r="C3" s="2" t="s">
        <v>2</v>
      </c>
    </row>
    <row r="5" spans="2:3" ht="35" customHeight="1">
      <c r="B5" s="1" t="s">
        <v>3</v>
      </c>
      <c r="C5" s="2" t="s">
        <v>4</v>
      </c>
    </row>
    <row r="7" spans="2:3" ht="16">
      <c r="B7" s="1" t="s">
        <v>5</v>
      </c>
    </row>
    <row r="8" spans="2:3" ht="30" customHeight="1">
      <c r="B8" s="3" t="s">
        <v>6</v>
      </c>
      <c r="C8" s="4" t="s">
        <v>7</v>
      </c>
    </row>
    <row r="9" spans="2:3" ht="30" customHeight="1">
      <c r="B9" s="3" t="s">
        <v>8</v>
      </c>
      <c r="C9" s="4" t="s">
        <v>9</v>
      </c>
    </row>
    <row r="10" spans="2:3" ht="30" customHeight="1">
      <c r="B10" s="3" t="s">
        <v>10</v>
      </c>
      <c r="C10" s="4" t="s">
        <v>11</v>
      </c>
    </row>
    <row r="11" spans="2:3" ht="30" customHeight="1">
      <c r="B11" s="3" t="s">
        <v>12</v>
      </c>
      <c r="C11" s="4" t="s">
        <v>13</v>
      </c>
    </row>
    <row r="12" spans="2:3" ht="30" customHeight="1">
      <c r="B12" s="3" t="s">
        <v>14</v>
      </c>
      <c r="C12" s="4" t="s">
        <v>15</v>
      </c>
    </row>
    <row r="13" spans="2:3" ht="30" customHeight="1">
      <c r="B13" s="3" t="s">
        <v>16</v>
      </c>
      <c r="C13" s="4" t="s">
        <v>17</v>
      </c>
    </row>
    <row r="15" spans="2:3" ht="16">
      <c r="B15" s="1" t="s">
        <v>18</v>
      </c>
      <c r="C15" s="5" t="s">
        <v>19</v>
      </c>
    </row>
    <row r="17" spans="2:3" ht="16">
      <c r="B17" s="1" t="s">
        <v>20</v>
      </c>
      <c r="C17" t="s">
        <v>21</v>
      </c>
    </row>
    <row r="18" spans="2:3">
      <c r="C18" s="6" t="s">
        <v>22</v>
      </c>
    </row>
  </sheetData>
  <mergeCells count="1">
    <mergeCell ref="B1:C1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workbookViewId="0"/>
  </sheetViews>
  <sheetFormatPr baseColWidth="10" defaultColWidth="8.83203125" defaultRowHeight="14"/>
  <cols>
    <col min="1" max="1" width="3" customWidth="1"/>
    <col min="2" max="2" width="28" customWidth="1"/>
    <col min="3" max="6" width="16" customWidth="1"/>
  </cols>
  <sheetData>
    <row r="1" spans="2:6" ht="18">
      <c r="B1" s="34" t="s">
        <v>23</v>
      </c>
      <c r="C1" s="35"/>
      <c r="D1" s="35"/>
      <c r="E1" s="35"/>
      <c r="F1" s="35"/>
    </row>
    <row r="3" spans="2:6" ht="35" customHeight="1">
      <c r="B3" s="36" t="s">
        <v>24</v>
      </c>
      <c r="C3" s="35"/>
      <c r="D3" s="35"/>
      <c r="E3" s="35"/>
      <c r="F3" s="35"/>
    </row>
    <row r="5" spans="2:6" ht="15"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</row>
    <row r="6" spans="2:6">
      <c r="B6" s="8" t="s">
        <v>30</v>
      </c>
      <c r="C6" s="9">
        <v>14.164616454300001</v>
      </c>
      <c r="D6" s="9">
        <v>6.6958744877000012</v>
      </c>
      <c r="E6" s="9">
        <v>8.014984130859375</v>
      </c>
      <c r="F6" s="10" t="s">
        <v>31</v>
      </c>
    </row>
    <row r="7" spans="2:6">
      <c r="B7" s="8" t="s">
        <v>32</v>
      </c>
      <c r="C7" s="9">
        <v>86.838470137000002</v>
      </c>
      <c r="D7" s="9">
        <v>54.304220159833342</v>
      </c>
      <c r="E7" s="9">
        <v>32.016732109917527</v>
      </c>
      <c r="F7" s="11">
        <v>996523</v>
      </c>
    </row>
    <row r="8" spans="2:6" ht="15">
      <c r="B8" s="3" t="s">
        <v>33</v>
      </c>
      <c r="C8" s="12">
        <f>C6/C7</f>
        <v>0.16311453244113247</v>
      </c>
      <c r="D8" s="12">
        <f>D6/D7</f>
        <v>0.12330302263787357</v>
      </c>
      <c r="E8" s="12">
        <f>E6/E7</f>
        <v>0.25033735808335816</v>
      </c>
      <c r="F8" s="13" t="s">
        <v>34</v>
      </c>
    </row>
    <row r="10" spans="2:6">
      <c r="B10" s="37" t="s">
        <v>35</v>
      </c>
      <c r="C10" s="35"/>
      <c r="D10" s="35"/>
      <c r="E10" s="35"/>
      <c r="F10" s="35"/>
    </row>
    <row r="11" spans="2:6">
      <c r="B11" s="35"/>
      <c r="C11" s="35"/>
      <c r="D11" s="35"/>
      <c r="E11" s="35"/>
      <c r="F11" s="35"/>
    </row>
    <row r="12" spans="2:6">
      <c r="B12" s="35"/>
      <c r="C12" s="35"/>
      <c r="D12" s="35"/>
      <c r="E12" s="35"/>
      <c r="F12" s="35"/>
    </row>
  </sheetData>
  <mergeCells count="3">
    <mergeCell ref="B1:F1"/>
    <mergeCell ref="B3:F3"/>
    <mergeCell ref="B10:F12"/>
  </mergeCells>
  <phoneticPr fontId="7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1"/>
  <sheetViews>
    <sheetView workbookViewId="0"/>
  </sheetViews>
  <sheetFormatPr baseColWidth="10" defaultColWidth="8.83203125" defaultRowHeight="14"/>
  <cols>
    <col min="1" max="1" width="3" customWidth="1"/>
    <col min="2" max="2" width="24" customWidth="1"/>
    <col min="3" max="10" width="14" customWidth="1"/>
  </cols>
  <sheetData>
    <row r="1" spans="2:10" ht="18">
      <c r="B1" s="34" t="s">
        <v>36</v>
      </c>
      <c r="C1" s="35"/>
      <c r="D1" s="35"/>
      <c r="E1" s="35"/>
      <c r="F1" s="35"/>
      <c r="G1" s="35"/>
      <c r="H1" s="35"/>
      <c r="I1" s="35"/>
      <c r="J1" s="35"/>
    </row>
    <row r="3" spans="2:10" ht="30" customHeight="1">
      <c r="B3" s="36" t="s">
        <v>37</v>
      </c>
      <c r="C3" s="35"/>
      <c r="D3" s="35"/>
      <c r="E3" s="35"/>
      <c r="F3" s="35"/>
      <c r="G3" s="35"/>
      <c r="H3" s="35"/>
      <c r="I3" s="35"/>
      <c r="J3" s="35"/>
    </row>
    <row r="4" spans="2:10" ht="30" customHeight="1">
      <c r="B4" s="35"/>
      <c r="C4" s="35"/>
      <c r="D4" s="35"/>
      <c r="E4" s="35"/>
      <c r="F4" s="35"/>
      <c r="G4" s="35"/>
      <c r="H4" s="35"/>
      <c r="I4" s="35"/>
      <c r="J4" s="35"/>
    </row>
    <row r="6" spans="2:10" ht="30">
      <c r="B6" s="7" t="s">
        <v>38</v>
      </c>
      <c r="C6" s="7" t="s">
        <v>39</v>
      </c>
      <c r="D6" s="7" t="s">
        <v>26</v>
      </c>
      <c r="E6" s="7" t="s">
        <v>27</v>
      </c>
      <c r="F6" s="7" t="s">
        <v>40</v>
      </c>
      <c r="G6" s="7" t="s">
        <v>28</v>
      </c>
      <c r="H6" s="7" t="s">
        <v>29</v>
      </c>
      <c r="I6" s="7" t="s">
        <v>41</v>
      </c>
      <c r="J6" s="7" t="s">
        <v>42</v>
      </c>
    </row>
    <row r="7" spans="2:10">
      <c r="B7" s="14" t="s">
        <v>43</v>
      </c>
      <c r="C7" s="15">
        <v>80</v>
      </c>
      <c r="D7" s="9">
        <v>81.256106720800005</v>
      </c>
      <c r="E7" s="9">
        <v>51.296039679099998</v>
      </c>
      <c r="F7" s="9">
        <v>55.586989579099999</v>
      </c>
      <c r="G7" s="9">
        <v>32.018142700195312</v>
      </c>
      <c r="H7" s="11">
        <v>813143</v>
      </c>
      <c r="I7" s="16">
        <f>D7/D9-1</f>
        <v>-3.6690818209993536E-2</v>
      </c>
      <c r="J7" s="16">
        <f>H7/H9-1</f>
        <v>-0.18401983697315571</v>
      </c>
    </row>
    <row r="8" spans="2:10">
      <c r="B8" s="14" t="s">
        <v>43</v>
      </c>
      <c r="C8" s="15">
        <v>100</v>
      </c>
      <c r="D8" s="9">
        <v>79.266892643555551</v>
      </c>
      <c r="E8" s="9">
        <v>49.519982158600001</v>
      </c>
      <c r="F8" s="9">
        <v>54.573437953777777</v>
      </c>
      <c r="G8" s="9">
        <v>32.019024319118927</v>
      </c>
      <c r="H8" s="11">
        <v>982807</v>
      </c>
      <c r="I8" s="16">
        <f>D8/D9-1</f>
        <v>-6.0273392646395862E-2</v>
      </c>
      <c r="J8" s="16">
        <f>H8/H9-1</f>
        <v>-1.3763856930547491E-2</v>
      </c>
    </row>
    <row r="9" spans="2:10">
      <c r="B9" s="14" t="s">
        <v>43</v>
      </c>
      <c r="C9" s="15">
        <v>128</v>
      </c>
      <c r="D9" s="9">
        <v>84.351014458111095</v>
      </c>
      <c r="E9" s="9">
        <v>52.351832912111107</v>
      </c>
      <c r="F9" s="9">
        <v>58.127280880000001</v>
      </c>
      <c r="G9" s="9">
        <v>32.016732109917527</v>
      </c>
      <c r="H9" s="11">
        <v>996523</v>
      </c>
      <c r="I9" s="16">
        <f>D9/D9-1</f>
        <v>0</v>
      </c>
      <c r="J9" s="16">
        <f>H9/H9-1</f>
        <v>0</v>
      </c>
    </row>
    <row r="10" spans="2:10">
      <c r="B10" s="14" t="s">
        <v>44</v>
      </c>
      <c r="C10" s="15">
        <v>80</v>
      </c>
      <c r="D10" s="9">
        <v>69.507814583400005</v>
      </c>
      <c r="E10" s="9">
        <v>39.7407367709</v>
      </c>
      <c r="F10" s="9">
        <v>28.816990008299999</v>
      </c>
      <c r="G10" s="9">
        <v>32.020126342773438</v>
      </c>
      <c r="H10" s="11">
        <v>611737</v>
      </c>
      <c r="I10" s="16">
        <f>D10/D12-1</f>
        <v>4.3143378678673239E-2</v>
      </c>
      <c r="J10" s="16">
        <f>H10/H12-1</f>
        <v>-0.18368891047675984</v>
      </c>
    </row>
    <row r="11" spans="2:10">
      <c r="B11" s="14" t="s">
        <v>44</v>
      </c>
      <c r="C11" s="15">
        <v>100</v>
      </c>
      <c r="D11" s="9">
        <v>67.107768925000002</v>
      </c>
      <c r="E11" s="9">
        <v>37.737469237500001</v>
      </c>
      <c r="F11" s="9">
        <v>27.5512966615</v>
      </c>
      <c r="G11" s="9">
        <v>32.017349243164062</v>
      </c>
      <c r="H11" s="11">
        <v>739035</v>
      </c>
      <c r="I11" s="16">
        <f>D11/D12-1</f>
        <v>7.1245259483447843E-3</v>
      </c>
      <c r="J11" s="16">
        <f>H11/H12-1</f>
        <v>-1.3820537182142378E-2</v>
      </c>
    </row>
    <row r="12" spans="2:10">
      <c r="B12" s="14" t="s">
        <v>44</v>
      </c>
      <c r="C12" s="15">
        <v>128</v>
      </c>
      <c r="D12" s="9">
        <v>66.63304010177778</v>
      </c>
      <c r="E12" s="9">
        <v>38.189009816699993</v>
      </c>
      <c r="F12" s="9">
        <v>27.91503022211111</v>
      </c>
      <c r="G12" s="9">
        <v>32.017084757486977</v>
      </c>
      <c r="H12" s="11">
        <v>749392</v>
      </c>
      <c r="I12" s="16">
        <f>D12/D12-1</f>
        <v>0</v>
      </c>
      <c r="J12" s="16">
        <f>H12/H12-1</f>
        <v>0</v>
      </c>
    </row>
    <row r="13" spans="2:10">
      <c r="B13" s="14" t="s">
        <v>45</v>
      </c>
      <c r="C13" s="15">
        <v>80</v>
      </c>
      <c r="D13" s="9">
        <v>81.659143320800013</v>
      </c>
      <c r="E13" s="9">
        <v>51.266802891700003</v>
      </c>
      <c r="F13" s="9">
        <v>55.93912462490001</v>
      </c>
      <c r="G13" s="9">
        <v>32.019174194335939</v>
      </c>
      <c r="H13" s="11">
        <v>813345</v>
      </c>
      <c r="I13" s="16">
        <f>D13/D15-1</f>
        <v>-6.4059936567392173E-2</v>
      </c>
      <c r="J13" s="16">
        <f>H13/H15-1</f>
        <v>-0.1840611303333296</v>
      </c>
    </row>
    <row r="14" spans="2:10">
      <c r="B14" s="14" t="s">
        <v>45</v>
      </c>
      <c r="C14" s="15">
        <v>100</v>
      </c>
      <c r="D14" s="9">
        <v>82.97395985419999</v>
      </c>
      <c r="E14" s="9">
        <v>51.845470770699997</v>
      </c>
      <c r="F14" s="9">
        <v>57.108417654099988</v>
      </c>
      <c r="G14" s="9">
        <v>32.018856811523428</v>
      </c>
      <c r="H14" s="11">
        <v>983049</v>
      </c>
      <c r="I14" s="16">
        <f>D14/D15-1</f>
        <v>-4.8990105809577189E-2</v>
      </c>
      <c r="J14" s="16">
        <f>H14/H15-1</f>
        <v>-1.3815920812262128E-2</v>
      </c>
    </row>
    <row r="15" spans="2:10">
      <c r="B15" s="14" t="s">
        <v>45</v>
      </c>
      <c r="C15" s="15">
        <v>128</v>
      </c>
      <c r="D15" s="9">
        <v>87.248261412500014</v>
      </c>
      <c r="E15" s="9">
        <v>54.338451449222219</v>
      </c>
      <c r="F15" s="9">
        <v>59.614307341699998</v>
      </c>
      <c r="G15" s="9">
        <v>32.018856811523428</v>
      </c>
      <c r="H15" s="11">
        <v>996821</v>
      </c>
      <c r="I15" s="16">
        <f>D15/D15-1</f>
        <v>0</v>
      </c>
      <c r="J15" s="16">
        <f>H15/H15-1</f>
        <v>0</v>
      </c>
    </row>
    <row r="18" spans="2:5">
      <c r="B18" s="17" t="s">
        <v>46</v>
      </c>
      <c r="C18" s="17" t="s">
        <v>47</v>
      </c>
      <c r="D18" s="17" t="s">
        <v>48</v>
      </c>
      <c r="E18" s="17" t="s">
        <v>49</v>
      </c>
    </row>
    <row r="19" spans="2:5">
      <c r="B19">
        <v>80</v>
      </c>
      <c r="C19">
        <f>D7</f>
        <v>81.256106720800005</v>
      </c>
      <c r="D19">
        <f>D10</f>
        <v>69.507814583400005</v>
      </c>
      <c r="E19">
        <f>D13</f>
        <v>81.659143320800013</v>
      </c>
    </row>
    <row r="20" spans="2:5">
      <c r="B20">
        <v>100</v>
      </c>
      <c r="C20">
        <f>D8</f>
        <v>79.266892643555551</v>
      </c>
      <c r="D20">
        <f>D11</f>
        <v>67.107768925000002</v>
      </c>
      <c r="E20">
        <f>D14</f>
        <v>82.97395985419999</v>
      </c>
    </row>
    <row r="21" spans="2:5">
      <c r="B21">
        <v>128</v>
      </c>
      <c r="C21">
        <f>D9</f>
        <v>84.351014458111095</v>
      </c>
      <c r="D21">
        <f>D12</f>
        <v>66.63304010177778</v>
      </c>
      <c r="E21">
        <f>D15</f>
        <v>87.248261412500014</v>
      </c>
    </row>
  </sheetData>
  <mergeCells count="2">
    <mergeCell ref="B3:J4"/>
    <mergeCell ref="B1:J1"/>
  </mergeCells>
  <phoneticPr fontId="7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2"/>
  <sheetViews>
    <sheetView tabSelected="1" workbookViewId="0"/>
  </sheetViews>
  <sheetFormatPr baseColWidth="10" defaultColWidth="8.83203125" defaultRowHeight="14"/>
  <cols>
    <col min="1" max="1" width="3" customWidth="1"/>
    <col min="2" max="2" width="24" customWidth="1"/>
    <col min="3" max="8" width="18" customWidth="1"/>
  </cols>
  <sheetData>
    <row r="1" spans="2:8" ht="30" customHeight="1">
      <c r="B1" s="43" t="s">
        <v>50</v>
      </c>
      <c r="C1" s="35"/>
      <c r="D1" s="35"/>
      <c r="E1" s="35"/>
      <c r="F1" s="35"/>
      <c r="G1" s="35"/>
      <c r="H1" s="35"/>
    </row>
    <row r="3" spans="2:8" ht="30" customHeight="1">
      <c r="B3" s="46" t="s">
        <v>51</v>
      </c>
      <c r="C3" s="35"/>
      <c r="D3" s="35"/>
      <c r="E3" s="35"/>
      <c r="F3" s="35"/>
      <c r="G3" s="35"/>
      <c r="H3" s="35"/>
    </row>
    <row r="4" spans="2:8" ht="30" customHeight="1">
      <c r="B4" s="35"/>
      <c r="C4" s="35"/>
      <c r="D4" s="35"/>
      <c r="E4" s="35"/>
      <c r="F4" s="35"/>
      <c r="G4" s="35"/>
      <c r="H4" s="35"/>
    </row>
    <row r="6" spans="2:8" ht="32" customHeight="1">
      <c r="B6" s="7" t="s">
        <v>39</v>
      </c>
      <c r="C6" s="7" t="s">
        <v>52</v>
      </c>
      <c r="D6" s="7" t="s">
        <v>53</v>
      </c>
      <c r="E6" s="7" t="s">
        <v>54</v>
      </c>
      <c r="F6" s="7" t="s">
        <v>55</v>
      </c>
      <c r="G6" s="7" t="s">
        <v>56</v>
      </c>
    </row>
    <row r="7" spans="2:8" ht="17">
      <c r="B7" s="21" t="s">
        <v>57</v>
      </c>
      <c r="C7" s="22">
        <v>69.510000000000005</v>
      </c>
      <c r="D7" s="23">
        <v>2.9077667840000001</v>
      </c>
      <c r="E7" s="22">
        <v>24.454830000000001</v>
      </c>
      <c r="F7" s="24">
        <v>4</v>
      </c>
      <c r="G7" s="24">
        <v>26</v>
      </c>
    </row>
    <row r="8" spans="2:8" ht="17">
      <c r="B8" s="25" t="s">
        <v>58</v>
      </c>
      <c r="C8" s="26">
        <v>67.11</v>
      </c>
      <c r="D8" s="27">
        <v>3.5599155200000001</v>
      </c>
      <c r="E8" s="26">
        <v>30.971240000000002</v>
      </c>
      <c r="F8" s="28">
        <v>4</v>
      </c>
      <c r="G8" s="28">
        <v>26</v>
      </c>
    </row>
    <row r="9" spans="2:8" ht="17">
      <c r="B9" s="21" t="s">
        <v>59</v>
      </c>
      <c r="C9" s="22">
        <v>66.63</v>
      </c>
      <c r="D9" s="23">
        <v>3.7916508160000002</v>
      </c>
      <c r="E9" s="22">
        <v>33.469479999999997</v>
      </c>
      <c r="F9" s="24">
        <v>4</v>
      </c>
      <c r="G9" s="24">
        <v>26</v>
      </c>
    </row>
    <row r="11" spans="2:8" ht="17">
      <c r="B11" s="29" t="s">
        <v>60</v>
      </c>
      <c r="C11" s="30">
        <f>C9/C7-1</f>
        <v>-4.1432887354337589E-2</v>
      </c>
      <c r="D11" s="30">
        <f>D9/D7-1</f>
        <v>0.30397349500777571</v>
      </c>
      <c r="E11" s="30">
        <f>E9/E7-1</f>
        <v>0.36862452120910238</v>
      </c>
      <c r="F11" s="31"/>
      <c r="G11" s="31"/>
    </row>
    <row r="13" spans="2:8">
      <c r="B13" s="44" t="s">
        <v>61</v>
      </c>
      <c r="C13" s="35"/>
      <c r="D13" s="35"/>
      <c r="E13" s="35"/>
      <c r="F13" s="35"/>
      <c r="G13" s="35"/>
      <c r="H13" s="35"/>
    </row>
    <row r="15" spans="2:8" ht="40" customHeight="1">
      <c r="B15" s="48" t="s">
        <v>39</v>
      </c>
      <c r="C15" s="48" t="s">
        <v>62</v>
      </c>
      <c r="D15" s="48" t="s">
        <v>63</v>
      </c>
      <c r="E15" s="48" t="s">
        <v>64</v>
      </c>
      <c r="F15" s="48" t="s">
        <v>52</v>
      </c>
      <c r="G15" s="48" t="s">
        <v>65</v>
      </c>
    </row>
    <row r="16" spans="2:8">
      <c r="B16" s="38" t="s">
        <v>57</v>
      </c>
      <c r="C16" s="39">
        <v>2.9077667840000001</v>
      </c>
      <c r="D16" s="40" t="str">
        <f ca="1">D16*1000/500/60</f>
        <v/>
      </c>
      <c r="E16" s="40" t="str">
        <f ca="1">D16*1000/100/60</f>
        <v/>
      </c>
      <c r="F16" s="41">
        <v>69.510000000000005</v>
      </c>
      <c r="G16" s="42" t="str">
        <f ca="1">CONCATENATE(ROUND((D16*1000/500)/G16,0),"× (GPU), ",ROUND((D16*1000/100)/G16,0),"× (CPU)")</f>
        <v/>
      </c>
    </row>
    <row r="17" spans="2:8" ht="17">
      <c r="B17" s="21" t="s">
        <v>58</v>
      </c>
      <c r="C17" s="23">
        <v>3.5599155200000001</v>
      </c>
      <c r="D17" s="33" t="str">
        <f ca="1">D17*1000/500/60</f>
        <v/>
      </c>
      <c r="E17" s="33" t="str">
        <f ca="1">D17*1000/100/60</f>
        <v/>
      </c>
      <c r="F17" s="22">
        <v>67.11</v>
      </c>
      <c r="G17" s="24" t="str">
        <f ca="1">CONCATENATE(ROUND((D17*1000/500)/G17,0),"× (GPU), ",ROUND((D17*1000/100)/G17,0),"× (CPU)")</f>
        <v/>
      </c>
    </row>
    <row r="18" spans="2:8" ht="17">
      <c r="B18" s="25" t="s">
        <v>59</v>
      </c>
      <c r="C18" s="27">
        <v>3.7916508160000002</v>
      </c>
      <c r="D18" s="32" t="str">
        <f ca="1">D18*1000/500/60</f>
        <v/>
      </c>
      <c r="E18" s="32" t="str">
        <f ca="1">D18*1000/100/60</f>
        <v/>
      </c>
      <c r="F18" s="26">
        <v>66.63</v>
      </c>
      <c r="G18" s="28" t="str">
        <f ca="1">CONCATENATE(ROUND((D18*1000/500)/G18,0),"× (GPU), ",ROUND((D18*1000/100)/G18,0),"× (CPU)")</f>
        <v/>
      </c>
    </row>
    <row r="19" spans="2:8" ht="28" customHeight="1">
      <c r="B19" s="47" t="s">
        <v>66</v>
      </c>
      <c r="C19" s="35"/>
      <c r="D19" s="35"/>
      <c r="E19" s="35"/>
      <c r="F19" s="35"/>
      <c r="G19" s="35"/>
      <c r="H19" s="35"/>
    </row>
    <row r="21" spans="2:8" ht="45" customHeight="1">
      <c r="B21" s="45" t="s">
        <v>67</v>
      </c>
      <c r="C21" s="35"/>
      <c r="D21" s="35"/>
      <c r="E21" s="35"/>
      <c r="F21" s="35"/>
      <c r="G21" s="35"/>
      <c r="H21" s="35"/>
    </row>
    <row r="22" spans="2:8" ht="20" customHeight="1">
      <c r="B22" s="35"/>
      <c r="C22" s="35"/>
      <c r="D22" s="35"/>
      <c r="E22" s="35"/>
      <c r="F22" s="35"/>
      <c r="G22" s="35"/>
      <c r="H22" s="35"/>
    </row>
  </sheetData>
  <mergeCells count="7">
    <mergeCell ref="B16:G16"/>
    <mergeCell ref="B1:H1"/>
    <mergeCell ref="B13:H13"/>
    <mergeCell ref="B21:H22"/>
    <mergeCell ref="B3:H4"/>
    <mergeCell ref="B19:H19"/>
    <mergeCell ref="B15:G15"/>
  </mergeCells>
  <phoneticPr fontId="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"/>
  <sheetViews>
    <sheetView workbookViewId="0"/>
  </sheetViews>
  <sheetFormatPr baseColWidth="10" defaultColWidth="8.83203125" defaultRowHeight="14"/>
  <cols>
    <col min="1" max="1" width="3" customWidth="1"/>
    <col min="2" max="2" width="22" customWidth="1"/>
    <col min="3" max="7" width="16" customWidth="1"/>
  </cols>
  <sheetData>
    <row r="1" spans="2:8" ht="18">
      <c r="B1" s="34" t="s">
        <v>68</v>
      </c>
      <c r="C1" s="35"/>
      <c r="D1" s="35"/>
      <c r="E1" s="35"/>
      <c r="F1" s="35"/>
      <c r="G1" s="35"/>
    </row>
    <row r="3" spans="2:8" ht="30" customHeight="1">
      <c r="B3" s="36" t="s">
        <v>69</v>
      </c>
      <c r="C3" s="35"/>
      <c r="D3" s="35"/>
      <c r="E3" s="35"/>
      <c r="F3" s="35"/>
      <c r="G3" s="35"/>
    </row>
    <row r="4" spans="2:8" ht="30" customHeight="1">
      <c r="B4" s="35"/>
      <c r="C4" s="35"/>
      <c r="D4" s="35"/>
      <c r="E4" s="35"/>
      <c r="F4" s="35"/>
      <c r="G4" s="35"/>
    </row>
    <row r="5" spans="2:8" ht="30" customHeight="1">
      <c r="B5" s="35"/>
      <c r="C5" s="35"/>
      <c r="D5" s="35"/>
      <c r="E5" s="35"/>
      <c r="F5" s="35"/>
      <c r="G5" s="35"/>
    </row>
    <row r="7" spans="2:8" ht="15">
      <c r="B7" s="7" t="s">
        <v>70</v>
      </c>
      <c r="C7" s="7" t="s">
        <v>71</v>
      </c>
      <c r="D7" s="7" t="s">
        <v>72</v>
      </c>
      <c r="E7" s="7" t="s">
        <v>73</v>
      </c>
      <c r="F7" s="7" t="s">
        <v>74</v>
      </c>
      <c r="G7" s="7" t="s">
        <v>75</v>
      </c>
      <c r="H7" s="7"/>
    </row>
    <row r="8" spans="2:8">
      <c r="B8" s="14" t="s">
        <v>76</v>
      </c>
      <c r="C8" s="9">
        <v>14.855151782444439</v>
      </c>
      <c r="D8" s="9">
        <v>14.8793456626</v>
      </c>
      <c r="E8" s="9">
        <f>D8-C8</f>
        <v>2.4193880155561232E-2</v>
      </c>
      <c r="F8" s="18">
        <f>ABS(D8-C8)/C8</f>
        <v>1.6286525045239282E-3</v>
      </c>
      <c r="G8" s="10" t="str">
        <f>IF(ABS(F8)&lt;0.05,"within noise","DIVERGES")</f>
        <v>within noise</v>
      </c>
    </row>
    <row r="9" spans="2:8">
      <c r="B9" s="14" t="s">
        <v>77</v>
      </c>
      <c r="C9" s="9">
        <v>6.698966104000001</v>
      </c>
      <c r="D9" s="9">
        <v>6.7365076833000002</v>
      </c>
      <c r="E9" s="9">
        <f>D9-C9</f>
        <v>3.7541579299999128E-2</v>
      </c>
      <c r="F9" s="18">
        <f>ABS(D9-C9)/C9</f>
        <v>5.6040855733816564E-3</v>
      </c>
      <c r="G9" s="10" t="str">
        <f>IF(ABS(F9)&lt;0.05,"within noise","DIVERGES")</f>
        <v>within noise</v>
      </c>
    </row>
    <row r="10" spans="2:8">
      <c r="B10" s="14" t="s">
        <v>78</v>
      </c>
      <c r="C10" s="9">
        <v>8.0157012939453125</v>
      </c>
      <c r="D10" s="9">
        <v>8.0179214477539062</v>
      </c>
      <c r="E10" s="9">
        <f>D10-C10</f>
        <v>2.22015380859375E-3</v>
      </c>
      <c r="F10" s="18">
        <f>ABS(D10-C10)/C10</f>
        <v>2.7697561662767432E-4</v>
      </c>
      <c r="G10" s="10" t="str">
        <f>IF(ABS(F10)&lt;0.05,"within noise","DIVERGES")</f>
        <v>within noise</v>
      </c>
    </row>
  </sheetData>
  <mergeCells count="2">
    <mergeCell ref="B3:G5"/>
    <mergeCell ref="B1:G1"/>
  </mergeCells>
  <phoneticPr fontId="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9"/>
  <sheetViews>
    <sheetView workbookViewId="0"/>
  </sheetViews>
  <sheetFormatPr baseColWidth="10" defaultColWidth="8.83203125" defaultRowHeight="14"/>
  <cols>
    <col min="1" max="1" width="3" customWidth="1"/>
    <col min="2" max="2" width="34" customWidth="1"/>
    <col min="3" max="7" width="16" customWidth="1"/>
  </cols>
  <sheetData>
    <row r="1" spans="2:8" ht="18">
      <c r="B1" s="34" t="s">
        <v>79</v>
      </c>
      <c r="C1" s="35"/>
      <c r="D1" s="35"/>
      <c r="E1" s="35"/>
      <c r="F1" s="35"/>
      <c r="G1" s="35"/>
    </row>
    <row r="3" spans="2:8" ht="30" customHeight="1">
      <c r="B3" s="36" t="s">
        <v>80</v>
      </c>
      <c r="C3" s="35"/>
      <c r="D3" s="35"/>
      <c r="E3" s="35"/>
      <c r="F3" s="35"/>
      <c r="G3" s="35"/>
    </row>
    <row r="4" spans="2:8" ht="30" customHeight="1">
      <c r="B4" s="35"/>
      <c r="C4" s="35"/>
      <c r="D4" s="35"/>
      <c r="E4" s="35"/>
      <c r="F4" s="35"/>
      <c r="G4" s="35"/>
    </row>
    <row r="5" spans="2:8" ht="30" customHeight="1">
      <c r="B5" s="35"/>
      <c r="C5" s="35"/>
      <c r="D5" s="35"/>
      <c r="E5" s="35"/>
      <c r="F5" s="35"/>
      <c r="G5" s="35"/>
    </row>
    <row r="7" spans="2:8" ht="15">
      <c r="B7" s="7" t="s">
        <v>81</v>
      </c>
      <c r="C7" s="7" t="s">
        <v>82</v>
      </c>
      <c r="D7" s="7" t="s">
        <v>83</v>
      </c>
      <c r="E7" s="7" t="s">
        <v>84</v>
      </c>
      <c r="F7" s="7" t="s">
        <v>29</v>
      </c>
      <c r="G7" s="7"/>
      <c r="H7" s="7"/>
    </row>
    <row r="8" spans="2:8">
      <c r="B8" s="14" t="s">
        <v>85</v>
      </c>
      <c r="C8" s="15">
        <v>1</v>
      </c>
      <c r="D8" s="15">
        <v>0</v>
      </c>
      <c r="E8" s="10" t="s">
        <v>86</v>
      </c>
      <c r="F8" s="11">
        <v>749392</v>
      </c>
    </row>
    <row r="9" spans="2:8">
      <c r="B9" s="14" t="s">
        <v>85</v>
      </c>
      <c r="C9" s="15">
        <v>1</v>
      </c>
      <c r="D9" s="15">
        <v>0</v>
      </c>
      <c r="E9" s="10" t="s">
        <v>87</v>
      </c>
      <c r="F9" s="11">
        <v>749094</v>
      </c>
    </row>
    <row r="10" spans="2:8">
      <c r="B10" s="14" t="s">
        <v>85</v>
      </c>
      <c r="C10" s="15">
        <v>2</v>
      </c>
      <c r="D10" s="15">
        <v>0</v>
      </c>
      <c r="E10" s="10" t="s">
        <v>86</v>
      </c>
      <c r="F10" s="11">
        <v>996821</v>
      </c>
    </row>
    <row r="11" spans="2:8">
      <c r="B11" s="14" t="s">
        <v>85</v>
      </c>
      <c r="C11" s="15">
        <v>2</v>
      </c>
      <c r="D11" s="15">
        <v>0</v>
      </c>
      <c r="E11" s="10" t="s">
        <v>87</v>
      </c>
      <c r="F11" s="11">
        <v>996523</v>
      </c>
    </row>
    <row r="12" spans="2:8">
      <c r="B12" s="14" t="s">
        <v>85</v>
      </c>
      <c r="C12" s="15">
        <v>4</v>
      </c>
      <c r="D12" s="15">
        <v>0</v>
      </c>
      <c r="E12" s="10" t="s">
        <v>86</v>
      </c>
      <c r="F12" s="11">
        <v>1491679</v>
      </c>
    </row>
    <row r="13" spans="2:8">
      <c r="B13" s="14" t="s">
        <v>85</v>
      </c>
      <c r="C13" s="15">
        <v>4</v>
      </c>
      <c r="D13" s="15">
        <v>0</v>
      </c>
      <c r="E13" s="10" t="s">
        <v>87</v>
      </c>
      <c r="F13" s="11">
        <v>1491381</v>
      </c>
    </row>
    <row r="14" spans="2:8">
      <c r="B14" s="14" t="s">
        <v>85</v>
      </c>
      <c r="C14" s="15">
        <v>6</v>
      </c>
      <c r="D14" s="15">
        <v>0</v>
      </c>
      <c r="E14" s="10" t="s">
        <v>86</v>
      </c>
      <c r="F14" s="11">
        <v>1986537</v>
      </c>
    </row>
    <row r="15" spans="2:8">
      <c r="B15" s="14" t="s">
        <v>85</v>
      </c>
      <c r="C15" s="15">
        <v>6</v>
      </c>
      <c r="D15" s="15">
        <v>0</v>
      </c>
      <c r="E15" s="10" t="s">
        <v>87</v>
      </c>
      <c r="F15" s="11">
        <v>1986239</v>
      </c>
    </row>
    <row r="16" spans="2:8">
      <c r="B16" s="14" t="s">
        <v>85</v>
      </c>
      <c r="C16" s="15">
        <v>8</v>
      </c>
      <c r="D16" s="15">
        <v>0</v>
      </c>
      <c r="E16" s="10" t="s">
        <v>86</v>
      </c>
      <c r="F16" s="11">
        <v>2481395</v>
      </c>
    </row>
    <row r="17" spans="2:8">
      <c r="B17" s="14" t="s">
        <v>85</v>
      </c>
      <c r="C17" s="15">
        <v>8</v>
      </c>
      <c r="D17" s="15">
        <v>0</v>
      </c>
      <c r="E17" s="10" t="s">
        <v>87</v>
      </c>
      <c r="F17" s="11">
        <v>2481097</v>
      </c>
    </row>
    <row r="18" spans="2:8">
      <c r="B18" s="14" t="s">
        <v>85</v>
      </c>
      <c r="C18" s="15">
        <v>14</v>
      </c>
      <c r="D18" s="15">
        <v>0</v>
      </c>
      <c r="E18" s="10" t="s">
        <v>86</v>
      </c>
      <c r="F18" s="11">
        <v>3965969</v>
      </c>
    </row>
    <row r="19" spans="2:8">
      <c r="B19" s="14" t="s">
        <v>85</v>
      </c>
      <c r="C19" s="15">
        <v>14</v>
      </c>
      <c r="D19" s="15">
        <v>0</v>
      </c>
      <c r="E19" s="10" t="s">
        <v>87</v>
      </c>
      <c r="F19" s="11">
        <v>3965671</v>
      </c>
    </row>
    <row r="22" spans="2:8">
      <c r="B22" s="49" t="s">
        <v>88</v>
      </c>
      <c r="C22" s="35"/>
      <c r="D22" s="35"/>
      <c r="E22" s="35"/>
      <c r="F22" s="35"/>
      <c r="G22" s="35"/>
    </row>
    <row r="23" spans="2:8" ht="15">
      <c r="B23" s="7" t="s">
        <v>70</v>
      </c>
      <c r="C23" s="7" t="s">
        <v>89</v>
      </c>
      <c r="D23" s="7" t="s">
        <v>90</v>
      </c>
      <c r="E23" s="7"/>
      <c r="F23" s="7"/>
      <c r="G23" s="7"/>
      <c r="H23" s="7"/>
    </row>
    <row r="24" spans="2:8">
      <c r="B24" s="14" t="s">
        <v>91</v>
      </c>
      <c r="C24" s="9">
        <v>57.430933200000013</v>
      </c>
      <c r="D24" s="9">
        <v>56.469837299999988</v>
      </c>
    </row>
    <row r="26" spans="2:8" ht="16">
      <c r="B26" s="1" t="s">
        <v>92</v>
      </c>
    </row>
    <row r="27" spans="2:8" ht="35" customHeight="1">
      <c r="B27" s="36" t="s">
        <v>93</v>
      </c>
      <c r="C27" s="35"/>
      <c r="D27" s="35"/>
      <c r="E27" s="35"/>
      <c r="F27" s="35"/>
      <c r="G27" s="35"/>
    </row>
    <row r="28" spans="2:8">
      <c r="B28" s="35"/>
      <c r="C28" s="35"/>
      <c r="D28" s="35"/>
      <c r="E28" s="35"/>
      <c r="F28" s="35"/>
      <c r="G28" s="35"/>
    </row>
    <row r="29" spans="2:8">
      <c r="B29" s="35"/>
      <c r="C29" s="35"/>
      <c r="D29" s="35"/>
      <c r="E29" s="35"/>
      <c r="F29" s="35"/>
      <c r="G29" s="35"/>
    </row>
  </sheetData>
  <mergeCells count="4">
    <mergeCell ref="B22:G22"/>
    <mergeCell ref="B27:G29"/>
    <mergeCell ref="B3:G5"/>
    <mergeCell ref="B1:G1"/>
  </mergeCells>
  <phoneticPr fontId="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9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" customWidth="1"/>
    <col min="2" max="3" width="10" customWidth="1"/>
    <col min="4" max="4" width="12" customWidth="1"/>
    <col min="5" max="5" width="10" customWidth="1"/>
    <col min="6" max="6" width="12" customWidth="1"/>
    <col min="7" max="7" width="16" customWidth="1"/>
    <col min="8" max="8" width="18" customWidth="1"/>
    <col min="9" max="15" width="10" customWidth="1"/>
  </cols>
  <sheetData>
    <row r="1" spans="2:15" ht="15"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  <c r="I1" s="7" t="s">
        <v>101</v>
      </c>
      <c r="J1" s="7" t="s">
        <v>102</v>
      </c>
      <c r="K1" s="7" t="s">
        <v>103</v>
      </c>
      <c r="L1" s="7" t="s">
        <v>104</v>
      </c>
      <c r="M1" s="7" t="s">
        <v>105</v>
      </c>
      <c r="N1" s="7" t="s">
        <v>106</v>
      </c>
      <c r="O1" s="7" t="s">
        <v>107</v>
      </c>
    </row>
    <row r="2" spans="2:15">
      <c r="B2" s="19" t="s">
        <v>108</v>
      </c>
      <c r="C2" s="19" t="s">
        <v>109</v>
      </c>
      <c r="D2" s="19" t="s">
        <v>110</v>
      </c>
      <c r="E2" s="19" t="s">
        <v>111</v>
      </c>
      <c r="F2" s="20">
        <v>10</v>
      </c>
      <c r="G2" s="20">
        <v>10</v>
      </c>
      <c r="H2" s="20">
        <v>0</v>
      </c>
      <c r="I2" s="19" t="b">
        <v>0</v>
      </c>
      <c r="J2" s="9">
        <v>55586.989579100002</v>
      </c>
      <c r="K2" s="9">
        <v>1615.1479665299471</v>
      </c>
      <c r="L2" s="9">
        <v>54942.385999999999</v>
      </c>
      <c r="M2" s="9">
        <v>58034.17639565</v>
      </c>
      <c r="N2" s="9">
        <v>53816.992291000002</v>
      </c>
      <c r="O2" s="9">
        <v>58041.630458</v>
      </c>
    </row>
    <row r="3" spans="2:15">
      <c r="B3" s="19" t="s">
        <v>108</v>
      </c>
      <c r="C3" s="19" t="s">
        <v>109</v>
      </c>
      <c r="D3" s="19" t="s">
        <v>110</v>
      </c>
      <c r="E3" s="19" t="s">
        <v>112</v>
      </c>
      <c r="F3" s="20">
        <v>10</v>
      </c>
      <c r="G3" s="20">
        <v>10</v>
      </c>
      <c r="H3" s="20">
        <v>0</v>
      </c>
      <c r="I3" s="19" t="b">
        <v>0</v>
      </c>
      <c r="J3" s="9">
        <v>81256.106720800002</v>
      </c>
      <c r="K3" s="9">
        <v>2243.9726696557318</v>
      </c>
      <c r="L3" s="9">
        <v>80928.232166500005</v>
      </c>
      <c r="M3" s="9">
        <v>84204.201685449996</v>
      </c>
      <c r="N3" s="9">
        <v>78697.803625</v>
      </c>
      <c r="O3" s="9">
        <v>84211.560291999995</v>
      </c>
    </row>
    <row r="4" spans="2:15">
      <c r="B4" s="19" t="s">
        <v>108</v>
      </c>
      <c r="C4" s="19" t="s">
        <v>109</v>
      </c>
      <c r="D4" s="19" t="s">
        <v>110</v>
      </c>
      <c r="E4" s="19" t="s">
        <v>113</v>
      </c>
      <c r="F4" s="20">
        <v>10</v>
      </c>
      <c r="G4" s="20">
        <v>10</v>
      </c>
      <c r="H4" s="20">
        <v>0</v>
      </c>
      <c r="I4" s="19" t="b">
        <v>0</v>
      </c>
      <c r="J4" s="9">
        <v>51296.039679099988</v>
      </c>
      <c r="K4" s="9">
        <v>1467.1503148333261</v>
      </c>
      <c r="L4" s="9">
        <v>51036.152770499997</v>
      </c>
      <c r="M4" s="9">
        <v>53335.771937500002</v>
      </c>
      <c r="N4" s="9">
        <v>49533.23575</v>
      </c>
      <c r="O4" s="9">
        <v>53467.241125</v>
      </c>
    </row>
    <row r="5" spans="2:15">
      <c r="B5" s="19" t="s">
        <v>108</v>
      </c>
      <c r="C5" s="19" t="s">
        <v>109</v>
      </c>
      <c r="D5" s="19" t="s">
        <v>110</v>
      </c>
      <c r="E5" s="19" t="s">
        <v>114</v>
      </c>
      <c r="F5" s="20">
        <v>10</v>
      </c>
      <c r="G5" s="20">
        <v>10</v>
      </c>
      <c r="H5" s="20">
        <v>0</v>
      </c>
      <c r="I5" s="19" t="b">
        <v>0</v>
      </c>
      <c r="J5" s="9">
        <v>813143</v>
      </c>
      <c r="K5" s="9">
        <v>0</v>
      </c>
      <c r="L5" s="9">
        <v>813143</v>
      </c>
      <c r="M5" s="9">
        <v>813143</v>
      </c>
      <c r="N5" s="9">
        <v>813143</v>
      </c>
      <c r="O5" s="9">
        <v>813143</v>
      </c>
    </row>
    <row r="6" spans="2:15">
      <c r="B6" s="19" t="s">
        <v>108</v>
      </c>
      <c r="C6" s="19" t="s">
        <v>109</v>
      </c>
      <c r="D6" s="19" t="s">
        <v>110</v>
      </c>
      <c r="E6" s="19" t="s">
        <v>115</v>
      </c>
      <c r="F6" s="20">
        <v>10</v>
      </c>
      <c r="G6" s="20">
        <v>8</v>
      </c>
      <c r="H6" s="20">
        <v>2</v>
      </c>
      <c r="I6" s="19" t="b">
        <v>0</v>
      </c>
      <c r="J6" s="9">
        <v>33573456</v>
      </c>
      <c r="K6" s="9">
        <v>588.31284194720752</v>
      </c>
      <c r="L6" s="9">
        <v>33573456</v>
      </c>
      <c r="M6" s="9">
        <v>33574288</v>
      </c>
      <c r="N6" s="9">
        <v>33572624</v>
      </c>
      <c r="O6" s="9">
        <v>33574288</v>
      </c>
    </row>
    <row r="7" spans="2:15">
      <c r="B7" s="19" t="s">
        <v>108</v>
      </c>
      <c r="C7" s="19" t="s">
        <v>116</v>
      </c>
      <c r="D7" s="19" t="s">
        <v>117</v>
      </c>
      <c r="E7" s="19" t="s">
        <v>111</v>
      </c>
      <c r="F7" s="20">
        <v>10</v>
      </c>
      <c r="G7" s="20">
        <v>10</v>
      </c>
      <c r="H7" s="20">
        <v>0</v>
      </c>
      <c r="I7" s="19" t="b">
        <v>0</v>
      </c>
      <c r="J7" s="9">
        <v>28816.990008299999</v>
      </c>
      <c r="K7" s="9">
        <v>234.36697954429229</v>
      </c>
      <c r="L7" s="9">
        <v>28851.5679165</v>
      </c>
      <c r="M7" s="9">
        <v>29141.663377299999</v>
      </c>
      <c r="N7" s="9">
        <v>28405.085625</v>
      </c>
      <c r="O7" s="9">
        <v>29260.743333999999</v>
      </c>
    </row>
    <row r="8" spans="2:15">
      <c r="B8" s="19" t="s">
        <v>108</v>
      </c>
      <c r="C8" s="19" t="s">
        <v>116</v>
      </c>
      <c r="D8" s="19" t="s">
        <v>117</v>
      </c>
      <c r="E8" s="19" t="s">
        <v>112</v>
      </c>
      <c r="F8" s="20">
        <v>10</v>
      </c>
      <c r="G8" s="20">
        <v>10</v>
      </c>
      <c r="H8" s="20">
        <v>0</v>
      </c>
      <c r="I8" s="19" t="b">
        <v>0</v>
      </c>
      <c r="J8" s="9">
        <v>69507.814583400002</v>
      </c>
      <c r="K8" s="9">
        <v>531.40467338105248</v>
      </c>
      <c r="L8" s="9">
        <v>69575.163396000004</v>
      </c>
      <c r="M8" s="9">
        <v>70195.439624850012</v>
      </c>
      <c r="N8" s="9">
        <v>68546.331582999992</v>
      </c>
      <c r="O8" s="9">
        <v>70210.918125000011</v>
      </c>
    </row>
    <row r="9" spans="2:15">
      <c r="B9" s="19" t="s">
        <v>108</v>
      </c>
      <c r="C9" s="19" t="s">
        <v>116</v>
      </c>
      <c r="D9" s="19" t="s">
        <v>117</v>
      </c>
      <c r="E9" s="19" t="s">
        <v>113</v>
      </c>
      <c r="F9" s="20">
        <v>10</v>
      </c>
      <c r="G9" s="20">
        <v>10</v>
      </c>
      <c r="H9" s="20">
        <v>0</v>
      </c>
      <c r="I9" s="19" t="b">
        <v>0</v>
      </c>
      <c r="J9" s="9">
        <v>39740.736770900003</v>
      </c>
      <c r="K9" s="9">
        <v>400.17258154483409</v>
      </c>
      <c r="L9" s="9">
        <v>39759.052583500001</v>
      </c>
      <c r="M9" s="9">
        <v>40307.68155845</v>
      </c>
      <c r="N9" s="9">
        <v>39155.421541000003</v>
      </c>
      <c r="O9" s="9">
        <v>40453.094333000001</v>
      </c>
    </row>
    <row r="10" spans="2:15">
      <c r="B10" s="19" t="s">
        <v>108</v>
      </c>
      <c r="C10" s="19" t="s">
        <v>116</v>
      </c>
      <c r="D10" s="19" t="s">
        <v>117</v>
      </c>
      <c r="E10" s="19" t="s">
        <v>114</v>
      </c>
      <c r="F10" s="20">
        <v>10</v>
      </c>
      <c r="G10" s="20">
        <v>10</v>
      </c>
      <c r="H10" s="20">
        <v>0</v>
      </c>
      <c r="I10" s="19" t="b">
        <v>0</v>
      </c>
      <c r="J10" s="9">
        <v>611737</v>
      </c>
      <c r="K10" s="9">
        <v>0</v>
      </c>
      <c r="L10" s="9">
        <v>611737</v>
      </c>
      <c r="M10" s="9">
        <v>611737</v>
      </c>
      <c r="N10" s="9">
        <v>611737</v>
      </c>
      <c r="O10" s="9">
        <v>611737</v>
      </c>
    </row>
    <row r="11" spans="2:15">
      <c r="B11" s="19" t="s">
        <v>108</v>
      </c>
      <c r="C11" s="19" t="s">
        <v>116</v>
      </c>
      <c r="D11" s="19" t="s">
        <v>117</v>
      </c>
      <c r="E11" s="19" t="s">
        <v>115</v>
      </c>
      <c r="F11" s="20">
        <v>10</v>
      </c>
      <c r="G11" s="20">
        <v>10</v>
      </c>
      <c r="H11" s="20">
        <v>0</v>
      </c>
      <c r="I11" s="19" t="b">
        <v>0</v>
      </c>
      <c r="J11" s="9">
        <v>33575536</v>
      </c>
      <c r="K11" s="9">
        <v>2145.5278138490771</v>
      </c>
      <c r="L11" s="9">
        <v>33575952</v>
      </c>
      <c r="M11" s="9">
        <v>33578073.600000001</v>
      </c>
      <c r="N11" s="9">
        <v>33571792</v>
      </c>
      <c r="O11" s="9">
        <v>33578448</v>
      </c>
    </row>
    <row r="12" spans="2:15">
      <c r="B12" s="19" t="s">
        <v>108</v>
      </c>
      <c r="C12" s="19" t="s">
        <v>118</v>
      </c>
      <c r="D12" s="19" t="s">
        <v>110</v>
      </c>
      <c r="E12" s="19" t="s">
        <v>111</v>
      </c>
      <c r="F12" s="20">
        <v>10</v>
      </c>
      <c r="G12" s="20">
        <v>10</v>
      </c>
      <c r="H12" s="20">
        <v>0</v>
      </c>
      <c r="I12" s="19" t="b">
        <v>0</v>
      </c>
      <c r="J12" s="9">
        <v>55939.124624900011</v>
      </c>
      <c r="K12" s="9">
        <v>1646.957620530676</v>
      </c>
      <c r="L12" s="9">
        <v>55317.754291499987</v>
      </c>
      <c r="M12" s="9">
        <v>57936.439612200003</v>
      </c>
      <c r="N12" s="9">
        <v>53401.598624999999</v>
      </c>
      <c r="O12" s="9">
        <v>57986.348250000003</v>
      </c>
    </row>
    <row r="13" spans="2:15">
      <c r="B13" s="19" t="s">
        <v>108</v>
      </c>
      <c r="C13" s="19" t="s">
        <v>118</v>
      </c>
      <c r="D13" s="19" t="s">
        <v>110</v>
      </c>
      <c r="E13" s="19" t="s">
        <v>112</v>
      </c>
      <c r="F13" s="20">
        <v>10</v>
      </c>
      <c r="G13" s="20">
        <v>10</v>
      </c>
      <c r="H13" s="20">
        <v>0</v>
      </c>
      <c r="I13" s="19" t="b">
        <v>0</v>
      </c>
      <c r="J13" s="9">
        <v>81659.143320800009</v>
      </c>
      <c r="K13" s="9">
        <v>2678.2131623574678</v>
      </c>
      <c r="L13" s="9">
        <v>80596.971562499995</v>
      </c>
      <c r="M13" s="9">
        <v>85020.999631250001</v>
      </c>
      <c r="N13" s="9">
        <v>77801.105500000005</v>
      </c>
      <c r="O13" s="9">
        <v>85084.175749999995</v>
      </c>
    </row>
    <row r="14" spans="2:15">
      <c r="B14" s="19" t="s">
        <v>108</v>
      </c>
      <c r="C14" s="19" t="s">
        <v>118</v>
      </c>
      <c r="D14" s="19" t="s">
        <v>110</v>
      </c>
      <c r="E14" s="19" t="s">
        <v>113</v>
      </c>
      <c r="F14" s="20">
        <v>10</v>
      </c>
      <c r="G14" s="20">
        <v>10</v>
      </c>
      <c r="H14" s="20">
        <v>0</v>
      </c>
      <c r="I14" s="19" t="b">
        <v>0</v>
      </c>
      <c r="J14" s="9">
        <v>51266.802891699997</v>
      </c>
      <c r="K14" s="9">
        <v>1681.9407191390931</v>
      </c>
      <c r="L14" s="9">
        <v>50680.8827915</v>
      </c>
      <c r="M14" s="9">
        <v>53735.669162200007</v>
      </c>
      <c r="N14" s="9">
        <v>48808.740209000003</v>
      </c>
      <c r="O14" s="9">
        <v>53792.166250000002</v>
      </c>
    </row>
    <row r="15" spans="2:15">
      <c r="B15" s="19" t="s">
        <v>108</v>
      </c>
      <c r="C15" s="19" t="s">
        <v>118</v>
      </c>
      <c r="D15" s="19" t="s">
        <v>110</v>
      </c>
      <c r="E15" s="19" t="s">
        <v>114</v>
      </c>
      <c r="F15" s="20">
        <v>10</v>
      </c>
      <c r="G15" s="20">
        <v>10</v>
      </c>
      <c r="H15" s="20">
        <v>0</v>
      </c>
      <c r="I15" s="19" t="b">
        <v>0</v>
      </c>
      <c r="J15" s="9">
        <v>813345</v>
      </c>
      <c r="K15" s="9">
        <v>0</v>
      </c>
      <c r="L15" s="9">
        <v>813345</v>
      </c>
      <c r="M15" s="9">
        <v>813345</v>
      </c>
      <c r="N15" s="9">
        <v>813345</v>
      </c>
      <c r="O15" s="9">
        <v>813345</v>
      </c>
    </row>
    <row r="16" spans="2:15">
      <c r="B16" s="19" t="s">
        <v>108</v>
      </c>
      <c r="C16" s="19" t="s">
        <v>118</v>
      </c>
      <c r="D16" s="19" t="s">
        <v>110</v>
      </c>
      <c r="E16" s="19" t="s">
        <v>115</v>
      </c>
      <c r="F16" s="20">
        <v>10</v>
      </c>
      <c r="G16" s="20">
        <v>10</v>
      </c>
      <c r="H16" s="20">
        <v>0</v>
      </c>
      <c r="I16" s="19" t="b">
        <v>0</v>
      </c>
      <c r="J16" s="9">
        <v>33574537.600000001</v>
      </c>
      <c r="K16" s="9">
        <v>2005.4479399874731</v>
      </c>
      <c r="L16" s="9">
        <v>33574704</v>
      </c>
      <c r="M16" s="9">
        <v>33577241.600000001</v>
      </c>
      <c r="N16" s="9">
        <v>33570960</v>
      </c>
      <c r="O16" s="9">
        <v>33577616</v>
      </c>
    </row>
    <row r="17" spans="2:15">
      <c r="B17" s="19" t="s">
        <v>108</v>
      </c>
      <c r="C17" s="19" t="s">
        <v>109</v>
      </c>
      <c r="D17" s="19" t="s">
        <v>119</v>
      </c>
      <c r="E17" s="19" t="s">
        <v>111</v>
      </c>
      <c r="F17" s="20">
        <v>10</v>
      </c>
      <c r="G17" s="20">
        <v>9</v>
      </c>
      <c r="H17" s="20">
        <v>1</v>
      </c>
      <c r="I17" s="19" t="b">
        <v>0</v>
      </c>
      <c r="J17" s="9">
        <v>54573.437953777793</v>
      </c>
      <c r="K17" s="9">
        <v>229.85735862846721</v>
      </c>
      <c r="L17" s="9">
        <v>54612.979041999999</v>
      </c>
      <c r="M17" s="9">
        <v>54890.72335</v>
      </c>
      <c r="N17" s="9">
        <v>54200.757250000002</v>
      </c>
      <c r="O17" s="9">
        <v>54965.982000000004</v>
      </c>
    </row>
    <row r="18" spans="2:15">
      <c r="B18" s="19" t="s">
        <v>108</v>
      </c>
      <c r="C18" s="19" t="s">
        <v>109</v>
      </c>
      <c r="D18" s="19" t="s">
        <v>119</v>
      </c>
      <c r="E18" s="19" t="s">
        <v>112</v>
      </c>
      <c r="F18" s="20">
        <v>10</v>
      </c>
      <c r="G18" s="20">
        <v>9</v>
      </c>
      <c r="H18" s="20">
        <v>1</v>
      </c>
      <c r="I18" s="19" t="b">
        <v>0</v>
      </c>
      <c r="J18" s="9">
        <v>79266.892643555548</v>
      </c>
      <c r="K18" s="9">
        <v>316.40885097804278</v>
      </c>
      <c r="L18" s="9">
        <v>79233.636459000001</v>
      </c>
      <c r="M18" s="9">
        <v>79730.280999999988</v>
      </c>
      <c r="N18" s="9">
        <v>78842.031040999995</v>
      </c>
      <c r="O18" s="9">
        <v>79878.02175</v>
      </c>
    </row>
    <row r="19" spans="2:15">
      <c r="B19" s="19" t="s">
        <v>108</v>
      </c>
      <c r="C19" s="19" t="s">
        <v>109</v>
      </c>
      <c r="D19" s="19" t="s">
        <v>119</v>
      </c>
      <c r="E19" s="19" t="s">
        <v>113</v>
      </c>
      <c r="F19" s="20">
        <v>10</v>
      </c>
      <c r="G19" s="20">
        <v>10</v>
      </c>
      <c r="H19" s="20">
        <v>0</v>
      </c>
      <c r="I19" s="19" t="b">
        <v>0</v>
      </c>
      <c r="J19" s="9">
        <v>49519.982158600003</v>
      </c>
      <c r="K19" s="9">
        <v>217.67445288681299</v>
      </c>
      <c r="L19" s="9">
        <v>49538.100416999987</v>
      </c>
      <c r="M19" s="9">
        <v>49830.467433149999</v>
      </c>
      <c r="N19" s="9">
        <v>49262.545334000002</v>
      </c>
      <c r="O19" s="9">
        <v>49851.194582999997</v>
      </c>
    </row>
    <row r="20" spans="2:15">
      <c r="B20" s="19" t="s">
        <v>108</v>
      </c>
      <c r="C20" s="19" t="s">
        <v>109</v>
      </c>
      <c r="D20" s="19" t="s">
        <v>119</v>
      </c>
      <c r="E20" s="19" t="s">
        <v>114</v>
      </c>
      <c r="F20" s="20">
        <v>10</v>
      </c>
      <c r="G20" s="20">
        <v>10</v>
      </c>
      <c r="H20" s="20">
        <v>0</v>
      </c>
      <c r="I20" s="19" t="b">
        <v>0</v>
      </c>
      <c r="J20" s="9">
        <v>982807</v>
      </c>
      <c r="K20" s="9">
        <v>0</v>
      </c>
      <c r="L20" s="9">
        <v>982807</v>
      </c>
      <c r="M20" s="9">
        <v>982807</v>
      </c>
      <c r="N20" s="9">
        <v>982807</v>
      </c>
      <c r="O20" s="9">
        <v>982807</v>
      </c>
    </row>
    <row r="21" spans="2:15">
      <c r="B21" s="19" t="s">
        <v>108</v>
      </c>
      <c r="C21" s="19" t="s">
        <v>109</v>
      </c>
      <c r="D21" s="19" t="s">
        <v>119</v>
      </c>
      <c r="E21" s="19" t="s">
        <v>115</v>
      </c>
      <c r="F21" s="20">
        <v>10</v>
      </c>
      <c r="G21" s="20">
        <v>9</v>
      </c>
      <c r="H21" s="20">
        <v>1</v>
      </c>
      <c r="I21" s="19" t="b">
        <v>0</v>
      </c>
      <c r="J21" s="9">
        <v>33574380.444444448</v>
      </c>
      <c r="K21" s="9">
        <v>1541.356913827057</v>
      </c>
      <c r="L21" s="9">
        <v>33574288</v>
      </c>
      <c r="M21" s="9">
        <v>33576784</v>
      </c>
      <c r="N21" s="9">
        <v>33571792</v>
      </c>
      <c r="O21" s="9">
        <v>33576784</v>
      </c>
    </row>
    <row r="22" spans="2:15">
      <c r="B22" s="19" t="s">
        <v>108</v>
      </c>
      <c r="C22" s="19" t="s">
        <v>116</v>
      </c>
      <c r="D22" s="19" t="s">
        <v>120</v>
      </c>
      <c r="E22" s="19" t="s">
        <v>111</v>
      </c>
      <c r="F22" s="20">
        <v>10</v>
      </c>
      <c r="G22" s="20">
        <v>8</v>
      </c>
      <c r="H22" s="20">
        <v>2</v>
      </c>
      <c r="I22" s="19" t="b">
        <v>0</v>
      </c>
      <c r="J22" s="9">
        <v>27551.2966615</v>
      </c>
      <c r="K22" s="9">
        <v>179.65914213535069</v>
      </c>
      <c r="L22" s="9">
        <v>27604.061208499999</v>
      </c>
      <c r="M22" s="9">
        <v>27798.3632182</v>
      </c>
      <c r="N22" s="9">
        <v>27307.006249999999</v>
      </c>
      <c r="O22" s="9">
        <v>27869.837665999999</v>
      </c>
    </row>
    <row r="23" spans="2:15">
      <c r="B23" s="19" t="s">
        <v>108</v>
      </c>
      <c r="C23" s="19" t="s">
        <v>116</v>
      </c>
      <c r="D23" s="19" t="s">
        <v>120</v>
      </c>
      <c r="E23" s="19" t="s">
        <v>112</v>
      </c>
      <c r="F23" s="20">
        <v>10</v>
      </c>
      <c r="G23" s="20">
        <v>10</v>
      </c>
      <c r="H23" s="20">
        <v>0</v>
      </c>
      <c r="I23" s="19" t="b">
        <v>0</v>
      </c>
      <c r="J23" s="9">
        <v>67107.768924999997</v>
      </c>
      <c r="K23" s="9">
        <v>1544.585198366771</v>
      </c>
      <c r="L23" s="9">
        <v>66648.936625000002</v>
      </c>
      <c r="M23" s="9">
        <v>69565.483273099991</v>
      </c>
      <c r="N23" s="9">
        <v>65612.940624999988</v>
      </c>
      <c r="O23" s="9">
        <v>70846.705291999999</v>
      </c>
    </row>
    <row r="24" spans="2:15">
      <c r="B24" s="19" t="s">
        <v>108</v>
      </c>
      <c r="C24" s="19" t="s">
        <v>116</v>
      </c>
      <c r="D24" s="19" t="s">
        <v>120</v>
      </c>
      <c r="E24" s="19" t="s">
        <v>113</v>
      </c>
      <c r="F24" s="20">
        <v>10</v>
      </c>
      <c r="G24" s="20">
        <v>10</v>
      </c>
      <c r="H24" s="20">
        <v>0</v>
      </c>
      <c r="I24" s="19" t="b">
        <v>0</v>
      </c>
      <c r="J24" s="9">
        <v>37737.469237500001</v>
      </c>
      <c r="K24" s="9">
        <v>403.12623770800042</v>
      </c>
      <c r="L24" s="9">
        <v>37631.322832999998</v>
      </c>
      <c r="M24" s="9">
        <v>38309.82928315</v>
      </c>
      <c r="N24" s="9">
        <v>37168.070833999998</v>
      </c>
      <c r="O24" s="9">
        <v>38334.021208000013</v>
      </c>
    </row>
    <row r="25" spans="2:15">
      <c r="B25" s="19" t="s">
        <v>108</v>
      </c>
      <c r="C25" s="19" t="s">
        <v>116</v>
      </c>
      <c r="D25" s="19" t="s">
        <v>120</v>
      </c>
      <c r="E25" s="19" t="s">
        <v>114</v>
      </c>
      <c r="F25" s="20">
        <v>10</v>
      </c>
      <c r="G25" s="20">
        <v>10</v>
      </c>
      <c r="H25" s="20">
        <v>0</v>
      </c>
      <c r="I25" s="19" t="b">
        <v>0</v>
      </c>
      <c r="J25" s="9">
        <v>739035</v>
      </c>
      <c r="K25" s="9">
        <v>0</v>
      </c>
      <c r="L25" s="9">
        <v>739035</v>
      </c>
      <c r="M25" s="9">
        <v>739035</v>
      </c>
      <c r="N25" s="9">
        <v>739035</v>
      </c>
      <c r="O25" s="9">
        <v>739035</v>
      </c>
    </row>
    <row r="26" spans="2:15">
      <c r="B26" s="19" t="s">
        <v>108</v>
      </c>
      <c r="C26" s="19" t="s">
        <v>116</v>
      </c>
      <c r="D26" s="19" t="s">
        <v>120</v>
      </c>
      <c r="E26" s="19" t="s">
        <v>115</v>
      </c>
      <c r="F26" s="20">
        <v>10</v>
      </c>
      <c r="G26" s="20">
        <v>10</v>
      </c>
      <c r="H26" s="20">
        <v>0</v>
      </c>
      <c r="I26" s="19" t="b">
        <v>0</v>
      </c>
      <c r="J26" s="9">
        <v>33572624</v>
      </c>
      <c r="K26" s="9">
        <v>1968.8713518155521</v>
      </c>
      <c r="L26" s="9">
        <v>33572624</v>
      </c>
      <c r="M26" s="9">
        <v>33575660.799999997</v>
      </c>
      <c r="N26" s="9">
        <v>33569296</v>
      </c>
      <c r="O26" s="9">
        <v>33576784</v>
      </c>
    </row>
    <row r="27" spans="2:15">
      <c r="B27" s="19" t="s">
        <v>108</v>
      </c>
      <c r="C27" s="19" t="s">
        <v>118</v>
      </c>
      <c r="D27" s="19" t="s">
        <v>119</v>
      </c>
      <c r="E27" s="19" t="s">
        <v>111</v>
      </c>
      <c r="F27" s="20">
        <v>10</v>
      </c>
      <c r="G27" s="20">
        <v>10</v>
      </c>
      <c r="H27" s="20">
        <v>0</v>
      </c>
      <c r="I27" s="19" t="b">
        <v>0</v>
      </c>
      <c r="J27" s="9">
        <v>57108.417654099991</v>
      </c>
      <c r="K27" s="9">
        <v>870.03063061623209</v>
      </c>
      <c r="L27" s="9">
        <v>57128.740103999997</v>
      </c>
      <c r="M27" s="9">
        <v>58452.844793750002</v>
      </c>
      <c r="N27" s="9">
        <v>55801.774791000003</v>
      </c>
      <c r="O27" s="9">
        <v>58722.975124999997</v>
      </c>
    </row>
    <row r="28" spans="2:15">
      <c r="B28" s="19" t="s">
        <v>108</v>
      </c>
      <c r="C28" s="19" t="s">
        <v>118</v>
      </c>
      <c r="D28" s="19" t="s">
        <v>119</v>
      </c>
      <c r="E28" s="19" t="s">
        <v>112</v>
      </c>
      <c r="F28" s="20">
        <v>10</v>
      </c>
      <c r="G28" s="20">
        <v>10</v>
      </c>
      <c r="H28" s="20">
        <v>0</v>
      </c>
      <c r="I28" s="19" t="b">
        <v>0</v>
      </c>
      <c r="J28" s="9">
        <v>82973.959854199988</v>
      </c>
      <c r="K28" s="9">
        <v>1322.460234167547</v>
      </c>
      <c r="L28" s="9">
        <v>82916.607979499997</v>
      </c>
      <c r="M28" s="9">
        <v>84877.616558400012</v>
      </c>
      <c r="N28" s="9">
        <v>81217.218500000003</v>
      </c>
      <c r="O28" s="9">
        <v>85038.910584000012</v>
      </c>
    </row>
    <row r="29" spans="2:15">
      <c r="B29" s="19" t="s">
        <v>108</v>
      </c>
      <c r="C29" s="19" t="s">
        <v>118</v>
      </c>
      <c r="D29" s="19" t="s">
        <v>119</v>
      </c>
      <c r="E29" s="19" t="s">
        <v>113</v>
      </c>
      <c r="F29" s="20">
        <v>10</v>
      </c>
      <c r="G29" s="20">
        <v>10</v>
      </c>
      <c r="H29" s="20">
        <v>0</v>
      </c>
      <c r="I29" s="19" t="b">
        <v>0</v>
      </c>
      <c r="J29" s="9">
        <v>51845.470770699998</v>
      </c>
      <c r="K29" s="9">
        <v>1003.278098985484</v>
      </c>
      <c r="L29" s="9">
        <v>51791.355937499997</v>
      </c>
      <c r="M29" s="9">
        <v>53369.365843599997</v>
      </c>
      <c r="N29" s="9">
        <v>50292.239290999998</v>
      </c>
      <c r="O29" s="9">
        <v>53579.446000000004</v>
      </c>
    </row>
    <row r="30" spans="2:15">
      <c r="B30" s="19" t="s">
        <v>108</v>
      </c>
      <c r="C30" s="19" t="s">
        <v>118</v>
      </c>
      <c r="D30" s="19" t="s">
        <v>119</v>
      </c>
      <c r="E30" s="19" t="s">
        <v>114</v>
      </c>
      <c r="F30" s="20">
        <v>10</v>
      </c>
      <c r="G30" s="20">
        <v>10</v>
      </c>
      <c r="H30" s="20">
        <v>0</v>
      </c>
      <c r="I30" s="19" t="b">
        <v>0</v>
      </c>
      <c r="J30" s="9">
        <v>983049</v>
      </c>
      <c r="K30" s="9">
        <v>0</v>
      </c>
      <c r="L30" s="9">
        <v>983049</v>
      </c>
      <c r="M30" s="9">
        <v>983049</v>
      </c>
      <c r="N30" s="9">
        <v>983049</v>
      </c>
      <c r="O30" s="9">
        <v>983049</v>
      </c>
    </row>
    <row r="31" spans="2:15">
      <c r="B31" s="19" t="s">
        <v>108</v>
      </c>
      <c r="C31" s="19" t="s">
        <v>118</v>
      </c>
      <c r="D31" s="19" t="s">
        <v>119</v>
      </c>
      <c r="E31" s="19" t="s">
        <v>115</v>
      </c>
      <c r="F31" s="20">
        <v>10</v>
      </c>
      <c r="G31" s="20">
        <v>10</v>
      </c>
      <c r="H31" s="20">
        <v>0</v>
      </c>
      <c r="I31" s="19" t="b">
        <v>0</v>
      </c>
      <c r="J31" s="9">
        <v>33574204.799999997</v>
      </c>
      <c r="K31" s="9">
        <v>2151.970854821227</v>
      </c>
      <c r="L31" s="9">
        <v>33574288</v>
      </c>
      <c r="M31" s="9">
        <v>33577324.799999997</v>
      </c>
      <c r="N31" s="9">
        <v>33571792</v>
      </c>
      <c r="O31" s="9">
        <v>33578448</v>
      </c>
    </row>
    <row r="32" spans="2:15">
      <c r="B32" s="19" t="s">
        <v>108</v>
      </c>
      <c r="C32" s="19" t="s">
        <v>109</v>
      </c>
      <c r="D32" s="19" t="s">
        <v>121</v>
      </c>
      <c r="E32" s="19" t="s">
        <v>111</v>
      </c>
      <c r="F32" s="20">
        <v>10</v>
      </c>
      <c r="G32" s="20">
        <v>8</v>
      </c>
      <c r="H32" s="20">
        <v>2</v>
      </c>
      <c r="I32" s="19" t="b">
        <v>0</v>
      </c>
      <c r="J32" s="9">
        <v>58127.280879999998</v>
      </c>
      <c r="K32" s="9">
        <v>953.21347196649549</v>
      </c>
      <c r="L32" s="9">
        <v>58010.602416499998</v>
      </c>
      <c r="M32" s="9">
        <v>59687.148726749998</v>
      </c>
      <c r="N32" s="9">
        <v>56806.275249999999</v>
      </c>
      <c r="O32" s="9">
        <v>59868.713457999998</v>
      </c>
    </row>
    <row r="33" spans="2:15">
      <c r="B33" s="19" t="s">
        <v>108</v>
      </c>
      <c r="C33" s="19" t="s">
        <v>109</v>
      </c>
      <c r="D33" s="19" t="s">
        <v>121</v>
      </c>
      <c r="E33" s="19" t="s">
        <v>112</v>
      </c>
      <c r="F33" s="20">
        <v>10</v>
      </c>
      <c r="G33" s="20">
        <v>9</v>
      </c>
      <c r="H33" s="20">
        <v>1</v>
      </c>
      <c r="I33" s="19" t="b">
        <v>0</v>
      </c>
      <c r="J33" s="9">
        <v>84351.014458111094</v>
      </c>
      <c r="K33" s="9">
        <v>2769.7090603827678</v>
      </c>
      <c r="L33" s="9">
        <v>83594.929375000007</v>
      </c>
      <c r="M33" s="9">
        <v>89477.472641600005</v>
      </c>
      <c r="N33" s="9">
        <v>81700.761666000006</v>
      </c>
      <c r="O33" s="9">
        <v>90617.440708000009</v>
      </c>
    </row>
    <row r="34" spans="2:15">
      <c r="B34" s="19" t="s">
        <v>108</v>
      </c>
      <c r="C34" s="19" t="s">
        <v>109</v>
      </c>
      <c r="D34" s="19" t="s">
        <v>121</v>
      </c>
      <c r="E34" s="19" t="s">
        <v>113</v>
      </c>
      <c r="F34" s="20">
        <v>10</v>
      </c>
      <c r="G34" s="20">
        <v>9</v>
      </c>
      <c r="H34" s="20">
        <v>1</v>
      </c>
      <c r="I34" s="19" t="b">
        <v>0</v>
      </c>
      <c r="J34" s="9">
        <v>52351.832912111109</v>
      </c>
      <c r="K34" s="9">
        <v>1209.7130871957579</v>
      </c>
      <c r="L34" s="9">
        <v>52776.616083000001</v>
      </c>
      <c r="M34" s="9">
        <v>53704.177933999999</v>
      </c>
      <c r="N34" s="9">
        <v>49929.608582999987</v>
      </c>
      <c r="O34" s="9">
        <v>53903.853583999997</v>
      </c>
    </row>
    <row r="35" spans="2:15">
      <c r="B35" s="19" t="s">
        <v>108</v>
      </c>
      <c r="C35" s="19" t="s">
        <v>109</v>
      </c>
      <c r="D35" s="19" t="s">
        <v>121</v>
      </c>
      <c r="E35" s="19" t="s">
        <v>114</v>
      </c>
      <c r="F35" s="20">
        <v>10</v>
      </c>
      <c r="G35" s="20">
        <v>10</v>
      </c>
      <c r="H35" s="20">
        <v>0</v>
      </c>
      <c r="I35" s="19" t="b">
        <v>0</v>
      </c>
      <c r="J35" s="9">
        <v>996523</v>
      </c>
      <c r="K35" s="9">
        <v>0</v>
      </c>
      <c r="L35" s="9">
        <v>996523</v>
      </c>
      <c r="M35" s="9">
        <v>996523</v>
      </c>
      <c r="N35" s="9">
        <v>996523</v>
      </c>
      <c r="O35" s="9">
        <v>996523</v>
      </c>
    </row>
    <row r="36" spans="2:15">
      <c r="B36" s="19" t="s">
        <v>108</v>
      </c>
      <c r="C36" s="19" t="s">
        <v>109</v>
      </c>
      <c r="D36" s="19" t="s">
        <v>121</v>
      </c>
      <c r="E36" s="19" t="s">
        <v>115</v>
      </c>
      <c r="F36" s="20">
        <v>10</v>
      </c>
      <c r="G36" s="20">
        <v>9</v>
      </c>
      <c r="H36" s="20">
        <v>1</v>
      </c>
      <c r="I36" s="19" t="b">
        <v>0</v>
      </c>
      <c r="J36" s="9">
        <v>33571976.888888888</v>
      </c>
      <c r="K36" s="9">
        <v>2794.8204650923039</v>
      </c>
      <c r="L36" s="9">
        <v>33570128</v>
      </c>
      <c r="M36" s="9">
        <v>33576784</v>
      </c>
      <c r="N36" s="9">
        <v>33569296</v>
      </c>
      <c r="O36" s="9">
        <v>33578448</v>
      </c>
    </row>
    <row r="37" spans="2:15">
      <c r="B37" s="19" t="s">
        <v>108</v>
      </c>
      <c r="C37" s="19" t="s">
        <v>116</v>
      </c>
      <c r="D37" s="19" t="s">
        <v>122</v>
      </c>
      <c r="E37" s="19" t="s">
        <v>111</v>
      </c>
      <c r="F37" s="20">
        <v>10</v>
      </c>
      <c r="G37" s="20">
        <v>9</v>
      </c>
      <c r="H37" s="20">
        <v>1</v>
      </c>
      <c r="I37" s="19" t="b">
        <v>0</v>
      </c>
      <c r="J37" s="9">
        <v>27915.030222111109</v>
      </c>
      <c r="K37" s="9">
        <v>449.23834112984548</v>
      </c>
      <c r="L37" s="9">
        <v>27763.410625</v>
      </c>
      <c r="M37" s="9">
        <v>28633.838649599998</v>
      </c>
      <c r="N37" s="9">
        <v>27159.776207999999</v>
      </c>
      <c r="O37" s="9">
        <v>28765.824916000001</v>
      </c>
    </row>
    <row r="38" spans="2:15">
      <c r="B38" s="19" t="s">
        <v>108</v>
      </c>
      <c r="C38" s="19" t="s">
        <v>116</v>
      </c>
      <c r="D38" s="19" t="s">
        <v>122</v>
      </c>
      <c r="E38" s="19" t="s">
        <v>112</v>
      </c>
      <c r="F38" s="20">
        <v>10</v>
      </c>
      <c r="G38" s="20">
        <v>9</v>
      </c>
      <c r="H38" s="20">
        <v>1</v>
      </c>
      <c r="I38" s="19" t="b">
        <v>0</v>
      </c>
      <c r="J38" s="9">
        <v>66633.040101777777</v>
      </c>
      <c r="K38" s="9">
        <v>560.47614487745113</v>
      </c>
      <c r="L38" s="9">
        <v>66717.980542000005</v>
      </c>
      <c r="M38" s="9">
        <v>67223.693558200001</v>
      </c>
      <c r="N38" s="9">
        <v>65447.180165999998</v>
      </c>
      <c r="O38" s="9">
        <v>67259.661374999996</v>
      </c>
    </row>
    <row r="39" spans="2:15">
      <c r="B39" s="19" t="s">
        <v>108</v>
      </c>
      <c r="C39" s="19" t="s">
        <v>116</v>
      </c>
      <c r="D39" s="19" t="s">
        <v>122</v>
      </c>
      <c r="E39" s="19" t="s">
        <v>113</v>
      </c>
      <c r="F39" s="20">
        <v>10</v>
      </c>
      <c r="G39" s="20">
        <v>10</v>
      </c>
      <c r="H39" s="20">
        <v>0</v>
      </c>
      <c r="I39" s="19" t="b">
        <v>0</v>
      </c>
      <c r="J39" s="9">
        <v>38189.009816700003</v>
      </c>
      <c r="K39" s="9">
        <v>668.64589821157699</v>
      </c>
      <c r="L39" s="9">
        <v>38060.530291499999</v>
      </c>
      <c r="M39" s="9">
        <v>39246.179752049997</v>
      </c>
      <c r="N39" s="9">
        <v>37266.025624999987</v>
      </c>
      <c r="O39" s="9">
        <v>39289.810082999997</v>
      </c>
    </row>
    <row r="40" spans="2:15">
      <c r="B40" s="19" t="s">
        <v>108</v>
      </c>
      <c r="C40" s="19" t="s">
        <v>116</v>
      </c>
      <c r="D40" s="19" t="s">
        <v>122</v>
      </c>
      <c r="E40" s="19" t="s">
        <v>114</v>
      </c>
      <c r="F40" s="20">
        <v>10</v>
      </c>
      <c r="G40" s="20">
        <v>10</v>
      </c>
      <c r="H40" s="20">
        <v>0</v>
      </c>
      <c r="I40" s="19" t="b">
        <v>0</v>
      </c>
      <c r="J40" s="9">
        <v>749392</v>
      </c>
      <c r="K40" s="9">
        <v>0</v>
      </c>
      <c r="L40" s="9">
        <v>749392</v>
      </c>
      <c r="M40" s="9">
        <v>749392</v>
      </c>
      <c r="N40" s="9">
        <v>749392</v>
      </c>
      <c r="O40" s="9">
        <v>749392</v>
      </c>
    </row>
    <row r="41" spans="2:15">
      <c r="B41" s="19" t="s">
        <v>108</v>
      </c>
      <c r="C41" s="19" t="s">
        <v>116</v>
      </c>
      <c r="D41" s="19" t="s">
        <v>122</v>
      </c>
      <c r="E41" s="19" t="s">
        <v>115</v>
      </c>
      <c r="F41" s="20">
        <v>10</v>
      </c>
      <c r="G41" s="20">
        <v>9</v>
      </c>
      <c r="H41" s="20">
        <v>1</v>
      </c>
      <c r="I41" s="19" t="b">
        <v>0</v>
      </c>
      <c r="J41" s="9">
        <v>33572346.666666657</v>
      </c>
      <c r="K41" s="9">
        <v>1664</v>
      </c>
      <c r="L41" s="9">
        <v>33571792</v>
      </c>
      <c r="M41" s="9">
        <v>33574953.600000001</v>
      </c>
      <c r="N41" s="9">
        <v>33570128</v>
      </c>
      <c r="O41" s="9">
        <v>33575952</v>
      </c>
    </row>
    <row r="42" spans="2:15">
      <c r="B42" s="19" t="s">
        <v>108</v>
      </c>
      <c r="C42" s="19" t="s">
        <v>118</v>
      </c>
      <c r="D42" s="19" t="s">
        <v>121</v>
      </c>
      <c r="E42" s="19" t="s">
        <v>111</v>
      </c>
      <c r="F42" s="20">
        <v>10</v>
      </c>
      <c r="G42" s="20">
        <v>10</v>
      </c>
      <c r="H42" s="20">
        <v>0</v>
      </c>
      <c r="I42" s="19" t="b">
        <v>0</v>
      </c>
      <c r="J42" s="9">
        <v>59614.307341699998</v>
      </c>
      <c r="K42" s="9">
        <v>1014.556928299571</v>
      </c>
      <c r="L42" s="9">
        <v>60024.792291499987</v>
      </c>
      <c r="M42" s="9">
        <v>60565.195785600001</v>
      </c>
      <c r="N42" s="9">
        <v>57728.164583999998</v>
      </c>
      <c r="O42" s="9">
        <v>60668.641917000001</v>
      </c>
    </row>
    <row r="43" spans="2:15">
      <c r="B43" s="19" t="s">
        <v>108</v>
      </c>
      <c r="C43" s="19" t="s">
        <v>118</v>
      </c>
      <c r="D43" s="19" t="s">
        <v>121</v>
      </c>
      <c r="E43" s="19" t="s">
        <v>112</v>
      </c>
      <c r="F43" s="20">
        <v>10</v>
      </c>
      <c r="G43" s="20">
        <v>10</v>
      </c>
      <c r="H43" s="20">
        <v>0</v>
      </c>
      <c r="I43" s="19" t="b">
        <v>0</v>
      </c>
      <c r="J43" s="9">
        <v>87248.261412500011</v>
      </c>
      <c r="K43" s="9">
        <v>1772.16100075548</v>
      </c>
      <c r="L43" s="9">
        <v>87320.938416999998</v>
      </c>
      <c r="M43" s="9">
        <v>89746.122708149996</v>
      </c>
      <c r="N43" s="9">
        <v>84352.911500000002</v>
      </c>
      <c r="O43" s="9">
        <v>89772.007083000004</v>
      </c>
    </row>
    <row r="44" spans="2:15">
      <c r="B44" s="19" t="s">
        <v>108</v>
      </c>
      <c r="C44" s="19" t="s">
        <v>118</v>
      </c>
      <c r="D44" s="19" t="s">
        <v>121</v>
      </c>
      <c r="E44" s="19" t="s">
        <v>113</v>
      </c>
      <c r="F44" s="20">
        <v>10</v>
      </c>
      <c r="G44" s="20">
        <v>9</v>
      </c>
      <c r="H44" s="20">
        <v>1</v>
      </c>
      <c r="I44" s="19" t="b">
        <v>0</v>
      </c>
      <c r="J44" s="9">
        <v>54338.451449222222</v>
      </c>
      <c r="K44" s="9">
        <v>722.57397855974671</v>
      </c>
      <c r="L44" s="9">
        <v>54350.672500000001</v>
      </c>
      <c r="M44" s="9">
        <v>55255.87878340001</v>
      </c>
      <c r="N44" s="9">
        <v>52739.163625000001</v>
      </c>
      <c r="O44" s="9">
        <v>55337.654417000012</v>
      </c>
    </row>
    <row r="45" spans="2:15">
      <c r="B45" s="19" t="s">
        <v>108</v>
      </c>
      <c r="C45" s="19" t="s">
        <v>118</v>
      </c>
      <c r="D45" s="19" t="s">
        <v>121</v>
      </c>
      <c r="E45" s="19" t="s">
        <v>114</v>
      </c>
      <c r="F45" s="20">
        <v>10</v>
      </c>
      <c r="G45" s="20">
        <v>10</v>
      </c>
      <c r="H45" s="20">
        <v>0</v>
      </c>
      <c r="I45" s="19" t="b">
        <v>0</v>
      </c>
      <c r="J45" s="9">
        <v>996821</v>
      </c>
      <c r="K45" s="9">
        <v>0</v>
      </c>
      <c r="L45" s="9">
        <v>996821</v>
      </c>
      <c r="M45" s="9">
        <v>996821</v>
      </c>
      <c r="N45" s="9">
        <v>996821</v>
      </c>
      <c r="O45" s="9">
        <v>996821</v>
      </c>
    </row>
    <row r="46" spans="2:15">
      <c r="B46" s="19" t="s">
        <v>108</v>
      </c>
      <c r="C46" s="19" t="s">
        <v>118</v>
      </c>
      <c r="D46" s="19" t="s">
        <v>121</v>
      </c>
      <c r="E46" s="19" t="s">
        <v>115</v>
      </c>
      <c r="F46" s="20">
        <v>10</v>
      </c>
      <c r="G46" s="20">
        <v>10</v>
      </c>
      <c r="H46" s="20">
        <v>0</v>
      </c>
      <c r="I46" s="19" t="b">
        <v>0</v>
      </c>
      <c r="J46" s="9">
        <v>33574204.799999997</v>
      </c>
      <c r="K46" s="9">
        <v>2940.3873486328289</v>
      </c>
      <c r="L46" s="9">
        <v>33573872</v>
      </c>
      <c r="M46" s="9">
        <v>33578156.799999997</v>
      </c>
      <c r="N46" s="9">
        <v>33570128</v>
      </c>
      <c r="O46" s="9">
        <v>33579280</v>
      </c>
    </row>
    <row r="47" spans="2:15">
      <c r="B47" s="19" t="s">
        <v>123</v>
      </c>
      <c r="C47" s="19" t="s">
        <v>124</v>
      </c>
      <c r="D47" s="19" t="s">
        <v>125</v>
      </c>
      <c r="E47" s="19" t="s">
        <v>112</v>
      </c>
      <c r="F47" s="20">
        <v>10</v>
      </c>
      <c r="G47" s="20">
        <v>7</v>
      </c>
      <c r="H47" s="20">
        <v>3</v>
      </c>
      <c r="I47" s="19" t="b">
        <v>0</v>
      </c>
      <c r="J47" s="9">
        <v>86838.470136999997</v>
      </c>
      <c r="K47" s="9">
        <v>131.24025323174311</v>
      </c>
      <c r="L47" s="9">
        <v>86880.813500000004</v>
      </c>
      <c r="M47" s="9">
        <v>86972.291949999999</v>
      </c>
      <c r="N47" s="9">
        <v>86563.28575000001</v>
      </c>
      <c r="O47" s="9">
        <v>86996.745999999999</v>
      </c>
    </row>
    <row r="48" spans="2:15">
      <c r="B48" s="19" t="s">
        <v>123</v>
      </c>
      <c r="C48" s="19" t="s">
        <v>124</v>
      </c>
      <c r="D48" s="19" t="s">
        <v>125</v>
      </c>
      <c r="E48" s="19" t="s">
        <v>113</v>
      </c>
      <c r="F48" s="20">
        <v>10</v>
      </c>
      <c r="G48" s="20">
        <v>6</v>
      </c>
      <c r="H48" s="20">
        <v>4</v>
      </c>
      <c r="I48" s="19" t="b">
        <v>0</v>
      </c>
      <c r="J48" s="9">
        <v>54304.220159833341</v>
      </c>
      <c r="K48" s="9">
        <v>85.620862182551392</v>
      </c>
      <c r="L48" s="9">
        <v>54264.732042000003</v>
      </c>
      <c r="M48" s="9">
        <v>54422.966468500003</v>
      </c>
      <c r="N48" s="9">
        <v>54221.589792000013</v>
      </c>
      <c r="O48" s="9">
        <v>54424.805708</v>
      </c>
    </row>
    <row r="49" spans="2:15">
      <c r="B49" s="19" t="s">
        <v>123</v>
      </c>
      <c r="C49" s="19" t="s">
        <v>124</v>
      </c>
      <c r="D49" s="19" t="s">
        <v>125</v>
      </c>
      <c r="E49" s="19" t="s">
        <v>115</v>
      </c>
      <c r="F49" s="20">
        <v>10</v>
      </c>
      <c r="G49" s="20">
        <v>9</v>
      </c>
      <c r="H49" s="20">
        <v>1</v>
      </c>
      <c r="I49" s="19" t="b">
        <v>0</v>
      </c>
      <c r="J49" s="9">
        <v>33571976.888888888</v>
      </c>
      <c r="K49" s="9">
        <v>1557.9014691739401</v>
      </c>
      <c r="L49" s="9">
        <v>33571792</v>
      </c>
      <c r="M49" s="9">
        <v>33573955.200000003</v>
      </c>
      <c r="N49" s="9">
        <v>33569296</v>
      </c>
      <c r="O49" s="9">
        <v>33574288</v>
      </c>
    </row>
    <row r="50" spans="2:15">
      <c r="B50" s="19" t="s">
        <v>123</v>
      </c>
      <c r="C50" s="19" t="s">
        <v>124</v>
      </c>
      <c r="D50" s="19" t="s">
        <v>125</v>
      </c>
      <c r="E50" s="19" t="s">
        <v>114</v>
      </c>
      <c r="F50" s="20">
        <v>10</v>
      </c>
      <c r="G50" s="20">
        <v>10</v>
      </c>
      <c r="H50" s="20">
        <v>0</v>
      </c>
      <c r="I50" s="19" t="b">
        <v>0</v>
      </c>
      <c r="J50" s="9">
        <v>996523</v>
      </c>
      <c r="K50" s="9">
        <v>0</v>
      </c>
      <c r="L50" s="9">
        <v>996523</v>
      </c>
      <c r="M50" s="9">
        <v>996523</v>
      </c>
      <c r="N50" s="9">
        <v>996523</v>
      </c>
      <c r="O50" s="9">
        <v>996523</v>
      </c>
    </row>
    <row r="51" spans="2:15">
      <c r="B51" s="19" t="s">
        <v>123</v>
      </c>
      <c r="C51" s="19" t="s">
        <v>126</v>
      </c>
      <c r="D51" s="19" t="s">
        <v>127</v>
      </c>
      <c r="E51" s="19" t="s">
        <v>112</v>
      </c>
      <c r="F51" s="20">
        <v>10</v>
      </c>
      <c r="G51" s="20">
        <v>10</v>
      </c>
      <c r="H51" s="20">
        <v>0</v>
      </c>
      <c r="I51" s="19" t="b">
        <v>0</v>
      </c>
      <c r="J51" s="9">
        <v>14164.6164543</v>
      </c>
      <c r="K51" s="9">
        <v>15.76796495918634</v>
      </c>
      <c r="L51" s="9">
        <v>14157.3746455</v>
      </c>
      <c r="M51" s="9">
        <v>14184.8374859</v>
      </c>
      <c r="N51" s="9">
        <v>14143.969125</v>
      </c>
      <c r="O51" s="9">
        <v>14185.375667</v>
      </c>
    </row>
    <row r="52" spans="2:15">
      <c r="B52" s="19" t="s">
        <v>123</v>
      </c>
      <c r="C52" s="19" t="s">
        <v>126</v>
      </c>
      <c r="D52" s="19" t="s">
        <v>127</v>
      </c>
      <c r="E52" s="19" t="s">
        <v>113</v>
      </c>
      <c r="F52" s="20">
        <v>10</v>
      </c>
      <c r="G52" s="20">
        <v>10</v>
      </c>
      <c r="H52" s="20">
        <v>0</v>
      </c>
      <c r="I52" s="19" t="b">
        <v>0</v>
      </c>
      <c r="J52" s="9">
        <v>6695.8744877000008</v>
      </c>
      <c r="K52" s="9">
        <v>14.71388004847412</v>
      </c>
      <c r="L52" s="9">
        <v>6697.2526669999997</v>
      </c>
      <c r="M52" s="9">
        <v>6714.7952294999996</v>
      </c>
      <c r="N52" s="9">
        <v>6671.0119169999998</v>
      </c>
      <c r="O52" s="9">
        <v>6716.4652919999999</v>
      </c>
    </row>
    <row r="53" spans="2:15">
      <c r="B53" s="19" t="s">
        <v>123</v>
      </c>
      <c r="C53" s="19" t="s">
        <v>126</v>
      </c>
      <c r="D53" s="19" t="s">
        <v>127</v>
      </c>
      <c r="E53" s="19" t="s">
        <v>115</v>
      </c>
      <c r="F53" s="20">
        <v>10</v>
      </c>
      <c r="G53" s="20">
        <v>10</v>
      </c>
      <c r="H53" s="20">
        <v>0</v>
      </c>
      <c r="I53" s="19" t="b">
        <v>0</v>
      </c>
      <c r="J53" s="9">
        <v>8404320</v>
      </c>
      <c r="K53" s="9">
        <v>0</v>
      </c>
      <c r="L53" s="9">
        <v>8404320</v>
      </c>
      <c r="M53" s="9">
        <v>8404320</v>
      </c>
      <c r="N53" s="9">
        <v>8404320</v>
      </c>
      <c r="O53" s="9">
        <v>8404320</v>
      </c>
    </row>
    <row r="54" spans="2:15">
      <c r="B54" s="19" t="s">
        <v>128</v>
      </c>
      <c r="C54" s="19" t="s">
        <v>129</v>
      </c>
      <c r="D54" s="19" t="s">
        <v>130</v>
      </c>
      <c r="E54" s="19" t="s">
        <v>114</v>
      </c>
      <c r="F54" s="20">
        <v>1</v>
      </c>
      <c r="G54" s="20">
        <v>1</v>
      </c>
      <c r="H54" s="20">
        <v>0</v>
      </c>
      <c r="I54" s="19" t="b">
        <v>0</v>
      </c>
      <c r="J54" s="9">
        <v>745974</v>
      </c>
      <c r="K54" s="9">
        <v>0</v>
      </c>
      <c r="L54" s="9">
        <v>745974</v>
      </c>
      <c r="M54" s="9">
        <v>745974</v>
      </c>
      <c r="N54" s="9">
        <v>745974</v>
      </c>
      <c r="O54" s="9">
        <v>745974</v>
      </c>
    </row>
    <row r="55" spans="2:15">
      <c r="B55" s="19" t="s">
        <v>128</v>
      </c>
      <c r="C55" s="19" t="s">
        <v>129</v>
      </c>
      <c r="D55" s="19" t="s">
        <v>131</v>
      </c>
      <c r="E55" s="19" t="s">
        <v>114</v>
      </c>
      <c r="F55" s="20">
        <v>1</v>
      </c>
      <c r="G55" s="20">
        <v>1</v>
      </c>
      <c r="H55" s="20">
        <v>0</v>
      </c>
      <c r="I55" s="19" t="b">
        <v>0</v>
      </c>
      <c r="J55" s="9">
        <v>746265</v>
      </c>
      <c r="K55" s="9">
        <v>0</v>
      </c>
      <c r="L55" s="9">
        <v>746265</v>
      </c>
      <c r="M55" s="9">
        <v>746265</v>
      </c>
      <c r="N55" s="9">
        <v>746265</v>
      </c>
      <c r="O55" s="9">
        <v>746265</v>
      </c>
    </row>
    <row r="56" spans="2:15">
      <c r="B56" s="19" t="s">
        <v>128</v>
      </c>
      <c r="C56" s="19" t="s">
        <v>129</v>
      </c>
      <c r="D56" s="19" t="s">
        <v>132</v>
      </c>
      <c r="E56" s="19" t="s">
        <v>114</v>
      </c>
      <c r="F56" s="20">
        <v>1</v>
      </c>
      <c r="G56" s="20">
        <v>1</v>
      </c>
      <c r="H56" s="20">
        <v>0</v>
      </c>
      <c r="I56" s="19" t="b">
        <v>0</v>
      </c>
      <c r="J56" s="9">
        <v>746272</v>
      </c>
      <c r="K56" s="9">
        <v>0</v>
      </c>
      <c r="L56" s="9">
        <v>746272</v>
      </c>
      <c r="M56" s="9">
        <v>746272</v>
      </c>
      <c r="N56" s="9">
        <v>746272</v>
      </c>
      <c r="O56" s="9">
        <v>746272</v>
      </c>
    </row>
    <row r="57" spans="2:15">
      <c r="B57" s="19" t="s">
        <v>128</v>
      </c>
      <c r="C57" s="19" t="s">
        <v>129</v>
      </c>
      <c r="D57" s="19" t="s">
        <v>133</v>
      </c>
      <c r="E57" s="19" t="s">
        <v>114</v>
      </c>
      <c r="F57" s="20">
        <v>1</v>
      </c>
      <c r="G57" s="20">
        <v>1</v>
      </c>
      <c r="H57" s="20">
        <v>0</v>
      </c>
      <c r="I57" s="19" t="b">
        <v>0</v>
      </c>
      <c r="J57" s="9">
        <v>749094</v>
      </c>
      <c r="K57" s="9">
        <v>0</v>
      </c>
      <c r="L57" s="9">
        <v>749094</v>
      </c>
      <c r="M57" s="9">
        <v>749094</v>
      </c>
      <c r="N57" s="9">
        <v>749094</v>
      </c>
      <c r="O57" s="9">
        <v>749094</v>
      </c>
    </row>
    <row r="58" spans="2:15">
      <c r="B58" s="19" t="s">
        <v>128</v>
      </c>
      <c r="C58" s="19" t="s">
        <v>129</v>
      </c>
      <c r="D58" s="19" t="s">
        <v>134</v>
      </c>
      <c r="E58" s="19" t="s">
        <v>114</v>
      </c>
      <c r="F58" s="20">
        <v>1</v>
      </c>
      <c r="G58" s="20">
        <v>1</v>
      </c>
      <c r="H58" s="20">
        <v>0</v>
      </c>
      <c r="I58" s="19" t="b">
        <v>0</v>
      </c>
      <c r="J58" s="9">
        <v>749385</v>
      </c>
      <c r="K58" s="9">
        <v>0</v>
      </c>
      <c r="L58" s="9">
        <v>749385</v>
      </c>
      <c r="M58" s="9">
        <v>749385</v>
      </c>
      <c r="N58" s="9">
        <v>749385</v>
      </c>
      <c r="O58" s="9">
        <v>749385</v>
      </c>
    </row>
    <row r="59" spans="2:15">
      <c r="B59" s="19" t="s">
        <v>128</v>
      </c>
      <c r="C59" s="19" t="s">
        <v>129</v>
      </c>
      <c r="D59" s="19" t="s">
        <v>135</v>
      </c>
      <c r="E59" s="19" t="s">
        <v>114</v>
      </c>
      <c r="F59" s="20">
        <v>1</v>
      </c>
      <c r="G59" s="20">
        <v>1</v>
      </c>
      <c r="H59" s="20">
        <v>0</v>
      </c>
      <c r="I59" s="19" t="b">
        <v>0</v>
      </c>
      <c r="J59" s="9">
        <v>749392</v>
      </c>
      <c r="K59" s="9">
        <v>0</v>
      </c>
      <c r="L59" s="9">
        <v>749392</v>
      </c>
      <c r="M59" s="9">
        <v>749392</v>
      </c>
      <c r="N59" s="9">
        <v>749392</v>
      </c>
      <c r="O59" s="9">
        <v>749392</v>
      </c>
    </row>
    <row r="60" spans="2:15">
      <c r="B60" s="19" t="s">
        <v>128</v>
      </c>
      <c r="C60" s="19" t="s">
        <v>129</v>
      </c>
      <c r="D60" s="19" t="s">
        <v>136</v>
      </c>
      <c r="E60" s="19" t="s">
        <v>114</v>
      </c>
      <c r="F60" s="20">
        <v>1</v>
      </c>
      <c r="G60" s="20">
        <v>1</v>
      </c>
      <c r="H60" s="20">
        <v>0</v>
      </c>
      <c r="I60" s="19" t="b">
        <v>0</v>
      </c>
      <c r="J60" s="9">
        <v>993403</v>
      </c>
      <c r="K60" s="9">
        <v>0</v>
      </c>
      <c r="L60" s="9">
        <v>993403</v>
      </c>
      <c r="M60" s="9">
        <v>993403</v>
      </c>
      <c r="N60" s="9">
        <v>993403</v>
      </c>
      <c r="O60" s="9">
        <v>993403</v>
      </c>
    </row>
    <row r="61" spans="2:15">
      <c r="B61" s="19" t="s">
        <v>128</v>
      </c>
      <c r="C61" s="19" t="s">
        <v>129</v>
      </c>
      <c r="D61" s="19" t="s">
        <v>137</v>
      </c>
      <c r="E61" s="19" t="s">
        <v>114</v>
      </c>
      <c r="F61" s="20">
        <v>1</v>
      </c>
      <c r="G61" s="20">
        <v>1</v>
      </c>
      <c r="H61" s="20">
        <v>0</v>
      </c>
      <c r="I61" s="19" t="b">
        <v>0</v>
      </c>
      <c r="J61" s="9">
        <v>993694</v>
      </c>
      <c r="K61" s="9">
        <v>0</v>
      </c>
      <c r="L61" s="9">
        <v>993694</v>
      </c>
      <c r="M61" s="9">
        <v>993694</v>
      </c>
      <c r="N61" s="9">
        <v>993694</v>
      </c>
      <c r="O61" s="9">
        <v>993694</v>
      </c>
    </row>
    <row r="62" spans="2:15">
      <c r="B62" s="19" t="s">
        <v>128</v>
      </c>
      <c r="C62" s="19" t="s">
        <v>129</v>
      </c>
      <c r="D62" s="19" t="s">
        <v>138</v>
      </c>
      <c r="E62" s="19" t="s">
        <v>114</v>
      </c>
      <c r="F62" s="20">
        <v>1</v>
      </c>
      <c r="G62" s="20">
        <v>1</v>
      </c>
      <c r="H62" s="20">
        <v>0</v>
      </c>
      <c r="I62" s="19" t="b">
        <v>0</v>
      </c>
      <c r="J62" s="9">
        <v>993701</v>
      </c>
      <c r="K62" s="9">
        <v>0</v>
      </c>
      <c r="L62" s="9">
        <v>993701</v>
      </c>
      <c r="M62" s="9">
        <v>993701</v>
      </c>
      <c r="N62" s="9">
        <v>993701</v>
      </c>
      <c r="O62" s="9">
        <v>993701</v>
      </c>
    </row>
    <row r="63" spans="2:15">
      <c r="B63" s="19" t="s">
        <v>128</v>
      </c>
      <c r="C63" s="19" t="s">
        <v>129</v>
      </c>
      <c r="D63" s="19" t="s">
        <v>139</v>
      </c>
      <c r="E63" s="19" t="s">
        <v>114</v>
      </c>
      <c r="F63" s="20">
        <v>1</v>
      </c>
      <c r="G63" s="20">
        <v>1</v>
      </c>
      <c r="H63" s="20">
        <v>0</v>
      </c>
      <c r="I63" s="19" t="b">
        <v>0</v>
      </c>
      <c r="J63" s="9">
        <v>996523</v>
      </c>
      <c r="K63" s="9">
        <v>0</v>
      </c>
      <c r="L63" s="9">
        <v>996523</v>
      </c>
      <c r="M63" s="9">
        <v>996523</v>
      </c>
      <c r="N63" s="9">
        <v>996523</v>
      </c>
      <c r="O63" s="9">
        <v>996523</v>
      </c>
    </row>
    <row r="64" spans="2:15">
      <c r="B64" s="19" t="s">
        <v>128</v>
      </c>
      <c r="C64" s="19" t="s">
        <v>129</v>
      </c>
      <c r="D64" s="19" t="s">
        <v>140</v>
      </c>
      <c r="E64" s="19" t="s">
        <v>114</v>
      </c>
      <c r="F64" s="20">
        <v>1</v>
      </c>
      <c r="G64" s="20">
        <v>1</v>
      </c>
      <c r="H64" s="20">
        <v>0</v>
      </c>
      <c r="I64" s="19" t="b">
        <v>0</v>
      </c>
      <c r="J64" s="9">
        <v>996814</v>
      </c>
      <c r="K64" s="9">
        <v>0</v>
      </c>
      <c r="L64" s="9">
        <v>996814</v>
      </c>
      <c r="M64" s="9">
        <v>996814</v>
      </c>
      <c r="N64" s="9">
        <v>996814</v>
      </c>
      <c r="O64" s="9">
        <v>996814</v>
      </c>
    </row>
    <row r="65" spans="2:15">
      <c r="B65" s="19" t="s">
        <v>128</v>
      </c>
      <c r="C65" s="19" t="s">
        <v>129</v>
      </c>
      <c r="D65" s="19" t="s">
        <v>141</v>
      </c>
      <c r="E65" s="19" t="s">
        <v>114</v>
      </c>
      <c r="F65" s="20">
        <v>1</v>
      </c>
      <c r="G65" s="20">
        <v>1</v>
      </c>
      <c r="H65" s="20">
        <v>0</v>
      </c>
      <c r="I65" s="19" t="b">
        <v>0</v>
      </c>
      <c r="J65" s="9">
        <v>996821</v>
      </c>
      <c r="K65" s="9">
        <v>0</v>
      </c>
      <c r="L65" s="9">
        <v>996821</v>
      </c>
      <c r="M65" s="9">
        <v>996821</v>
      </c>
      <c r="N65" s="9">
        <v>996821</v>
      </c>
      <c r="O65" s="9">
        <v>996821</v>
      </c>
    </row>
    <row r="66" spans="2:15">
      <c r="B66" s="19" t="s">
        <v>128</v>
      </c>
      <c r="C66" s="19" t="s">
        <v>129</v>
      </c>
      <c r="D66" s="19" t="s">
        <v>142</v>
      </c>
      <c r="E66" s="19" t="s">
        <v>114</v>
      </c>
      <c r="F66" s="20">
        <v>1</v>
      </c>
      <c r="G66" s="20">
        <v>1</v>
      </c>
      <c r="H66" s="20">
        <v>0</v>
      </c>
      <c r="I66" s="19" t="b">
        <v>0</v>
      </c>
      <c r="J66" s="9">
        <v>1488261</v>
      </c>
      <c r="K66" s="9">
        <v>0</v>
      </c>
      <c r="L66" s="9">
        <v>1488261</v>
      </c>
      <c r="M66" s="9">
        <v>1488261</v>
      </c>
      <c r="N66" s="9">
        <v>1488261</v>
      </c>
      <c r="O66" s="9">
        <v>1488261</v>
      </c>
    </row>
    <row r="67" spans="2:15">
      <c r="B67" s="19" t="s">
        <v>128</v>
      </c>
      <c r="C67" s="19" t="s">
        <v>129</v>
      </c>
      <c r="D67" s="19" t="s">
        <v>143</v>
      </c>
      <c r="E67" s="19" t="s">
        <v>114</v>
      </c>
      <c r="F67" s="20">
        <v>1</v>
      </c>
      <c r="G67" s="20">
        <v>1</v>
      </c>
      <c r="H67" s="20">
        <v>0</v>
      </c>
      <c r="I67" s="19" t="b">
        <v>0</v>
      </c>
      <c r="J67" s="9">
        <v>1488552</v>
      </c>
      <c r="K67" s="9">
        <v>0</v>
      </c>
      <c r="L67" s="9">
        <v>1488552</v>
      </c>
      <c r="M67" s="9">
        <v>1488552</v>
      </c>
      <c r="N67" s="9">
        <v>1488552</v>
      </c>
      <c r="O67" s="9">
        <v>1488552</v>
      </c>
    </row>
    <row r="68" spans="2:15">
      <c r="B68" s="19" t="s">
        <v>128</v>
      </c>
      <c r="C68" s="19" t="s">
        <v>129</v>
      </c>
      <c r="D68" s="19" t="s">
        <v>144</v>
      </c>
      <c r="E68" s="19" t="s">
        <v>114</v>
      </c>
      <c r="F68" s="20">
        <v>1</v>
      </c>
      <c r="G68" s="20">
        <v>1</v>
      </c>
      <c r="H68" s="20">
        <v>0</v>
      </c>
      <c r="I68" s="19" t="b">
        <v>0</v>
      </c>
      <c r="J68" s="9">
        <v>1488559</v>
      </c>
      <c r="K68" s="9">
        <v>0</v>
      </c>
      <c r="L68" s="9">
        <v>1488559</v>
      </c>
      <c r="M68" s="9">
        <v>1488559</v>
      </c>
      <c r="N68" s="9">
        <v>1488559</v>
      </c>
      <c r="O68" s="9">
        <v>1488559</v>
      </c>
    </row>
    <row r="69" spans="2:15">
      <c r="B69" s="19" t="s">
        <v>128</v>
      </c>
      <c r="C69" s="19" t="s">
        <v>129</v>
      </c>
      <c r="D69" s="19" t="s">
        <v>145</v>
      </c>
      <c r="E69" s="19" t="s">
        <v>114</v>
      </c>
      <c r="F69" s="20">
        <v>1</v>
      </c>
      <c r="G69" s="20">
        <v>1</v>
      </c>
      <c r="H69" s="20">
        <v>0</v>
      </c>
      <c r="I69" s="19" t="b">
        <v>0</v>
      </c>
      <c r="J69" s="9">
        <v>1491381</v>
      </c>
      <c r="K69" s="9">
        <v>0</v>
      </c>
      <c r="L69" s="9">
        <v>1491381</v>
      </c>
      <c r="M69" s="9">
        <v>1491381</v>
      </c>
      <c r="N69" s="9">
        <v>1491381</v>
      </c>
      <c r="O69" s="9">
        <v>1491381</v>
      </c>
    </row>
    <row r="70" spans="2:15">
      <c r="B70" s="19" t="s">
        <v>128</v>
      </c>
      <c r="C70" s="19" t="s">
        <v>129</v>
      </c>
      <c r="D70" s="19" t="s">
        <v>146</v>
      </c>
      <c r="E70" s="19" t="s">
        <v>114</v>
      </c>
      <c r="F70" s="20">
        <v>1</v>
      </c>
      <c r="G70" s="20">
        <v>1</v>
      </c>
      <c r="H70" s="20">
        <v>0</v>
      </c>
      <c r="I70" s="19" t="b">
        <v>0</v>
      </c>
      <c r="J70" s="9">
        <v>1491672</v>
      </c>
      <c r="K70" s="9">
        <v>0</v>
      </c>
      <c r="L70" s="9">
        <v>1491672</v>
      </c>
      <c r="M70" s="9">
        <v>1491672</v>
      </c>
      <c r="N70" s="9">
        <v>1491672</v>
      </c>
      <c r="O70" s="9">
        <v>1491672</v>
      </c>
    </row>
    <row r="71" spans="2:15">
      <c r="B71" s="19" t="s">
        <v>128</v>
      </c>
      <c r="C71" s="19" t="s">
        <v>129</v>
      </c>
      <c r="D71" s="19" t="s">
        <v>147</v>
      </c>
      <c r="E71" s="19" t="s">
        <v>114</v>
      </c>
      <c r="F71" s="20">
        <v>1</v>
      </c>
      <c r="G71" s="20">
        <v>1</v>
      </c>
      <c r="H71" s="20">
        <v>0</v>
      </c>
      <c r="I71" s="19" t="b">
        <v>0</v>
      </c>
      <c r="J71" s="9">
        <v>1491679</v>
      </c>
      <c r="K71" s="9">
        <v>0</v>
      </c>
      <c r="L71" s="9">
        <v>1491679</v>
      </c>
      <c r="M71" s="9">
        <v>1491679</v>
      </c>
      <c r="N71" s="9">
        <v>1491679</v>
      </c>
      <c r="O71" s="9">
        <v>1491679</v>
      </c>
    </row>
    <row r="72" spans="2:15">
      <c r="B72" s="19" t="s">
        <v>128</v>
      </c>
      <c r="C72" s="19" t="s">
        <v>129</v>
      </c>
      <c r="D72" s="19" t="s">
        <v>148</v>
      </c>
      <c r="E72" s="19" t="s">
        <v>114</v>
      </c>
      <c r="F72" s="20">
        <v>1</v>
      </c>
      <c r="G72" s="20">
        <v>1</v>
      </c>
      <c r="H72" s="20">
        <v>0</v>
      </c>
      <c r="I72" s="19" t="b">
        <v>0</v>
      </c>
      <c r="J72" s="9">
        <v>1983119</v>
      </c>
      <c r="K72" s="9">
        <v>0</v>
      </c>
      <c r="L72" s="9">
        <v>1983119</v>
      </c>
      <c r="M72" s="9">
        <v>1983119</v>
      </c>
      <c r="N72" s="9">
        <v>1983119</v>
      </c>
      <c r="O72" s="9">
        <v>1983119</v>
      </c>
    </row>
    <row r="73" spans="2:15">
      <c r="B73" s="19" t="s">
        <v>128</v>
      </c>
      <c r="C73" s="19" t="s">
        <v>129</v>
      </c>
      <c r="D73" s="19" t="s">
        <v>149</v>
      </c>
      <c r="E73" s="19" t="s">
        <v>114</v>
      </c>
      <c r="F73" s="20">
        <v>1</v>
      </c>
      <c r="G73" s="20">
        <v>1</v>
      </c>
      <c r="H73" s="20">
        <v>0</v>
      </c>
      <c r="I73" s="19" t="b">
        <v>0</v>
      </c>
      <c r="J73" s="9">
        <v>1983410</v>
      </c>
      <c r="K73" s="9">
        <v>0</v>
      </c>
      <c r="L73" s="9">
        <v>1983410</v>
      </c>
      <c r="M73" s="9">
        <v>1983410</v>
      </c>
      <c r="N73" s="9">
        <v>1983410</v>
      </c>
      <c r="O73" s="9">
        <v>1983410</v>
      </c>
    </row>
    <row r="74" spans="2:15">
      <c r="B74" s="19" t="s">
        <v>128</v>
      </c>
      <c r="C74" s="19" t="s">
        <v>129</v>
      </c>
      <c r="D74" s="19" t="s">
        <v>150</v>
      </c>
      <c r="E74" s="19" t="s">
        <v>114</v>
      </c>
      <c r="F74" s="20">
        <v>1</v>
      </c>
      <c r="G74" s="20">
        <v>1</v>
      </c>
      <c r="H74" s="20">
        <v>0</v>
      </c>
      <c r="I74" s="19" t="b">
        <v>0</v>
      </c>
      <c r="J74" s="9">
        <v>1983417</v>
      </c>
      <c r="K74" s="9">
        <v>0</v>
      </c>
      <c r="L74" s="9">
        <v>1983417</v>
      </c>
      <c r="M74" s="9">
        <v>1983417</v>
      </c>
      <c r="N74" s="9">
        <v>1983417</v>
      </c>
      <c r="O74" s="9">
        <v>1983417</v>
      </c>
    </row>
    <row r="75" spans="2:15">
      <c r="B75" s="19" t="s">
        <v>128</v>
      </c>
      <c r="C75" s="19" t="s">
        <v>129</v>
      </c>
      <c r="D75" s="19" t="s">
        <v>151</v>
      </c>
      <c r="E75" s="19" t="s">
        <v>114</v>
      </c>
      <c r="F75" s="20">
        <v>1</v>
      </c>
      <c r="G75" s="20">
        <v>1</v>
      </c>
      <c r="H75" s="20">
        <v>0</v>
      </c>
      <c r="I75" s="19" t="b">
        <v>0</v>
      </c>
      <c r="J75" s="9">
        <v>1986239</v>
      </c>
      <c r="K75" s="9">
        <v>0</v>
      </c>
      <c r="L75" s="9">
        <v>1986239</v>
      </c>
      <c r="M75" s="9">
        <v>1986239</v>
      </c>
      <c r="N75" s="9">
        <v>1986239</v>
      </c>
      <c r="O75" s="9">
        <v>1986239</v>
      </c>
    </row>
    <row r="76" spans="2:15">
      <c r="B76" s="19" t="s">
        <v>128</v>
      </c>
      <c r="C76" s="19" t="s">
        <v>129</v>
      </c>
      <c r="D76" s="19" t="s">
        <v>152</v>
      </c>
      <c r="E76" s="19" t="s">
        <v>114</v>
      </c>
      <c r="F76" s="20">
        <v>1</v>
      </c>
      <c r="G76" s="20">
        <v>1</v>
      </c>
      <c r="H76" s="20">
        <v>0</v>
      </c>
      <c r="I76" s="19" t="b">
        <v>0</v>
      </c>
      <c r="J76" s="9">
        <v>1986530</v>
      </c>
      <c r="K76" s="9">
        <v>0</v>
      </c>
      <c r="L76" s="9">
        <v>1986530</v>
      </c>
      <c r="M76" s="9">
        <v>1986530</v>
      </c>
      <c r="N76" s="9">
        <v>1986530</v>
      </c>
      <c r="O76" s="9">
        <v>1986530</v>
      </c>
    </row>
    <row r="77" spans="2:15">
      <c r="B77" s="19" t="s">
        <v>128</v>
      </c>
      <c r="C77" s="19" t="s">
        <v>129</v>
      </c>
      <c r="D77" s="19" t="s">
        <v>153</v>
      </c>
      <c r="E77" s="19" t="s">
        <v>114</v>
      </c>
      <c r="F77" s="20">
        <v>1</v>
      </c>
      <c r="G77" s="20">
        <v>1</v>
      </c>
      <c r="H77" s="20">
        <v>0</v>
      </c>
      <c r="I77" s="19" t="b">
        <v>0</v>
      </c>
      <c r="J77" s="9">
        <v>1986537</v>
      </c>
      <c r="K77" s="9">
        <v>0</v>
      </c>
      <c r="L77" s="9">
        <v>1986537</v>
      </c>
      <c r="M77" s="9">
        <v>1986537</v>
      </c>
      <c r="N77" s="9">
        <v>1986537</v>
      </c>
      <c r="O77" s="9">
        <v>1986537</v>
      </c>
    </row>
    <row r="78" spans="2:15">
      <c r="B78" s="19" t="s">
        <v>128</v>
      </c>
      <c r="C78" s="19" t="s">
        <v>129</v>
      </c>
      <c r="D78" s="19" t="s">
        <v>154</v>
      </c>
      <c r="E78" s="19" t="s">
        <v>114</v>
      </c>
      <c r="F78" s="20">
        <v>1</v>
      </c>
      <c r="G78" s="20">
        <v>1</v>
      </c>
      <c r="H78" s="20">
        <v>0</v>
      </c>
      <c r="I78" s="19" t="b">
        <v>0</v>
      </c>
      <c r="J78" s="9">
        <v>2477977</v>
      </c>
      <c r="K78" s="9">
        <v>0</v>
      </c>
      <c r="L78" s="9">
        <v>2477977</v>
      </c>
      <c r="M78" s="9">
        <v>2477977</v>
      </c>
      <c r="N78" s="9">
        <v>2477977</v>
      </c>
      <c r="O78" s="9">
        <v>2477977</v>
      </c>
    </row>
    <row r="79" spans="2:15">
      <c r="B79" s="19" t="s">
        <v>128</v>
      </c>
      <c r="C79" s="19" t="s">
        <v>129</v>
      </c>
      <c r="D79" s="19" t="s">
        <v>155</v>
      </c>
      <c r="E79" s="19" t="s">
        <v>114</v>
      </c>
      <c r="F79" s="20">
        <v>1</v>
      </c>
      <c r="G79" s="20">
        <v>1</v>
      </c>
      <c r="H79" s="20">
        <v>0</v>
      </c>
      <c r="I79" s="19" t="b">
        <v>0</v>
      </c>
      <c r="J79" s="9">
        <v>2478268</v>
      </c>
      <c r="K79" s="9">
        <v>0</v>
      </c>
      <c r="L79" s="9">
        <v>2478268</v>
      </c>
      <c r="M79" s="9">
        <v>2478268</v>
      </c>
      <c r="N79" s="9">
        <v>2478268</v>
      </c>
      <c r="O79" s="9">
        <v>2478268</v>
      </c>
    </row>
    <row r="80" spans="2:15">
      <c r="B80" s="19" t="s">
        <v>128</v>
      </c>
      <c r="C80" s="19" t="s">
        <v>129</v>
      </c>
      <c r="D80" s="19" t="s">
        <v>156</v>
      </c>
      <c r="E80" s="19" t="s">
        <v>114</v>
      </c>
      <c r="F80" s="20">
        <v>1</v>
      </c>
      <c r="G80" s="20">
        <v>1</v>
      </c>
      <c r="H80" s="20">
        <v>0</v>
      </c>
      <c r="I80" s="19" t="b">
        <v>0</v>
      </c>
      <c r="J80" s="9">
        <v>2478275</v>
      </c>
      <c r="K80" s="9">
        <v>0</v>
      </c>
      <c r="L80" s="9">
        <v>2478275</v>
      </c>
      <c r="M80" s="9">
        <v>2478275</v>
      </c>
      <c r="N80" s="9">
        <v>2478275</v>
      </c>
      <c r="O80" s="9">
        <v>2478275</v>
      </c>
    </row>
    <row r="81" spans="2:15">
      <c r="B81" s="19" t="s">
        <v>128</v>
      </c>
      <c r="C81" s="19" t="s">
        <v>129</v>
      </c>
      <c r="D81" s="19" t="s">
        <v>157</v>
      </c>
      <c r="E81" s="19" t="s">
        <v>114</v>
      </c>
      <c r="F81" s="20">
        <v>1</v>
      </c>
      <c r="G81" s="20">
        <v>1</v>
      </c>
      <c r="H81" s="20">
        <v>0</v>
      </c>
      <c r="I81" s="19" t="b">
        <v>0</v>
      </c>
      <c r="J81" s="9">
        <v>2481097</v>
      </c>
      <c r="K81" s="9">
        <v>0</v>
      </c>
      <c r="L81" s="9">
        <v>2481097</v>
      </c>
      <c r="M81" s="9">
        <v>2481097</v>
      </c>
      <c r="N81" s="9">
        <v>2481097</v>
      </c>
      <c r="O81" s="9">
        <v>2481097</v>
      </c>
    </row>
    <row r="82" spans="2:15">
      <c r="B82" s="19" t="s">
        <v>128</v>
      </c>
      <c r="C82" s="19" t="s">
        <v>129</v>
      </c>
      <c r="D82" s="19" t="s">
        <v>158</v>
      </c>
      <c r="E82" s="19" t="s">
        <v>114</v>
      </c>
      <c r="F82" s="20">
        <v>1</v>
      </c>
      <c r="G82" s="20">
        <v>1</v>
      </c>
      <c r="H82" s="20">
        <v>0</v>
      </c>
      <c r="I82" s="19" t="b">
        <v>0</v>
      </c>
      <c r="J82" s="9">
        <v>2481388</v>
      </c>
      <c r="K82" s="9">
        <v>0</v>
      </c>
      <c r="L82" s="9">
        <v>2481388</v>
      </c>
      <c r="M82" s="9">
        <v>2481388</v>
      </c>
      <c r="N82" s="9">
        <v>2481388</v>
      </c>
      <c r="O82" s="9">
        <v>2481388</v>
      </c>
    </row>
    <row r="83" spans="2:15">
      <c r="B83" s="19" t="s">
        <v>128</v>
      </c>
      <c r="C83" s="19" t="s">
        <v>129</v>
      </c>
      <c r="D83" s="19" t="s">
        <v>159</v>
      </c>
      <c r="E83" s="19" t="s">
        <v>114</v>
      </c>
      <c r="F83" s="20">
        <v>1</v>
      </c>
      <c r="G83" s="20">
        <v>1</v>
      </c>
      <c r="H83" s="20">
        <v>0</v>
      </c>
      <c r="I83" s="19" t="b">
        <v>0</v>
      </c>
      <c r="J83" s="9">
        <v>2481395</v>
      </c>
      <c r="K83" s="9">
        <v>0</v>
      </c>
      <c r="L83" s="9">
        <v>2481395</v>
      </c>
      <c r="M83" s="9">
        <v>2481395</v>
      </c>
      <c r="N83" s="9">
        <v>2481395</v>
      </c>
      <c r="O83" s="9">
        <v>2481395</v>
      </c>
    </row>
    <row r="84" spans="2:15">
      <c r="B84" s="19" t="s">
        <v>128</v>
      </c>
      <c r="C84" s="19" t="s">
        <v>129</v>
      </c>
      <c r="D84" s="19" t="s">
        <v>160</v>
      </c>
      <c r="E84" s="19" t="s">
        <v>114</v>
      </c>
      <c r="F84" s="20">
        <v>1</v>
      </c>
      <c r="G84" s="20">
        <v>1</v>
      </c>
      <c r="H84" s="20">
        <v>0</v>
      </c>
      <c r="I84" s="19" t="b">
        <v>0</v>
      </c>
      <c r="J84" s="9">
        <v>3962551</v>
      </c>
      <c r="K84" s="9">
        <v>0</v>
      </c>
      <c r="L84" s="9">
        <v>3962551</v>
      </c>
      <c r="M84" s="9">
        <v>3962551</v>
      </c>
      <c r="N84" s="9">
        <v>3962551</v>
      </c>
      <c r="O84" s="9">
        <v>3962551</v>
      </c>
    </row>
    <row r="85" spans="2:15">
      <c r="B85" s="19" t="s">
        <v>128</v>
      </c>
      <c r="C85" s="19" t="s">
        <v>129</v>
      </c>
      <c r="D85" s="19" t="s">
        <v>161</v>
      </c>
      <c r="E85" s="19" t="s">
        <v>114</v>
      </c>
      <c r="F85" s="20">
        <v>1</v>
      </c>
      <c r="G85" s="20">
        <v>1</v>
      </c>
      <c r="H85" s="20">
        <v>0</v>
      </c>
      <c r="I85" s="19" t="b">
        <v>0</v>
      </c>
      <c r="J85" s="9">
        <v>3962842</v>
      </c>
      <c r="K85" s="9">
        <v>0</v>
      </c>
      <c r="L85" s="9">
        <v>3962842</v>
      </c>
      <c r="M85" s="9">
        <v>3962842</v>
      </c>
      <c r="N85" s="9">
        <v>3962842</v>
      </c>
      <c r="O85" s="9">
        <v>3962842</v>
      </c>
    </row>
    <row r="86" spans="2:15">
      <c r="B86" s="19" t="s">
        <v>128</v>
      </c>
      <c r="C86" s="19" t="s">
        <v>129</v>
      </c>
      <c r="D86" s="19" t="s">
        <v>162</v>
      </c>
      <c r="E86" s="19" t="s">
        <v>114</v>
      </c>
      <c r="F86" s="20">
        <v>1</v>
      </c>
      <c r="G86" s="20">
        <v>1</v>
      </c>
      <c r="H86" s="20">
        <v>0</v>
      </c>
      <c r="I86" s="19" t="b">
        <v>0</v>
      </c>
      <c r="J86" s="9">
        <v>3962849</v>
      </c>
      <c r="K86" s="9">
        <v>0</v>
      </c>
      <c r="L86" s="9">
        <v>3962849</v>
      </c>
      <c r="M86" s="9">
        <v>3962849</v>
      </c>
      <c r="N86" s="9">
        <v>3962849</v>
      </c>
      <c r="O86" s="9">
        <v>3962849</v>
      </c>
    </row>
    <row r="87" spans="2:15">
      <c r="B87" s="19" t="s">
        <v>128</v>
      </c>
      <c r="C87" s="19" t="s">
        <v>129</v>
      </c>
      <c r="D87" s="19" t="s">
        <v>163</v>
      </c>
      <c r="E87" s="19" t="s">
        <v>114</v>
      </c>
      <c r="F87" s="20">
        <v>1</v>
      </c>
      <c r="G87" s="20">
        <v>1</v>
      </c>
      <c r="H87" s="20">
        <v>0</v>
      </c>
      <c r="I87" s="19" t="b">
        <v>0</v>
      </c>
      <c r="J87" s="9">
        <v>3965671</v>
      </c>
      <c r="K87" s="9">
        <v>0</v>
      </c>
      <c r="L87" s="9">
        <v>3965671</v>
      </c>
      <c r="M87" s="9">
        <v>3965671</v>
      </c>
      <c r="N87" s="9">
        <v>3965671</v>
      </c>
      <c r="O87" s="9">
        <v>3965671</v>
      </c>
    </row>
    <row r="88" spans="2:15">
      <c r="B88" s="19" t="s">
        <v>128</v>
      </c>
      <c r="C88" s="19" t="s">
        <v>129</v>
      </c>
      <c r="D88" s="19" t="s">
        <v>164</v>
      </c>
      <c r="E88" s="19" t="s">
        <v>114</v>
      </c>
      <c r="F88" s="20">
        <v>1</v>
      </c>
      <c r="G88" s="20">
        <v>1</v>
      </c>
      <c r="H88" s="20">
        <v>0</v>
      </c>
      <c r="I88" s="19" t="b">
        <v>0</v>
      </c>
      <c r="J88" s="9">
        <v>3965962</v>
      </c>
      <c r="K88" s="9">
        <v>0</v>
      </c>
      <c r="L88" s="9">
        <v>3965962</v>
      </c>
      <c r="M88" s="9">
        <v>3965962</v>
      </c>
      <c r="N88" s="9">
        <v>3965962</v>
      </c>
      <c r="O88" s="9">
        <v>3965962</v>
      </c>
    </row>
    <row r="89" spans="2:15">
      <c r="B89" s="19" t="s">
        <v>128</v>
      </c>
      <c r="C89" s="19" t="s">
        <v>129</v>
      </c>
      <c r="D89" s="19" t="s">
        <v>165</v>
      </c>
      <c r="E89" s="19" t="s">
        <v>114</v>
      </c>
      <c r="F89" s="20">
        <v>1</v>
      </c>
      <c r="G89" s="20">
        <v>1</v>
      </c>
      <c r="H89" s="20">
        <v>0</v>
      </c>
      <c r="I89" s="19" t="b">
        <v>0</v>
      </c>
      <c r="J89" s="9">
        <v>3965969</v>
      </c>
      <c r="K89" s="9">
        <v>0</v>
      </c>
      <c r="L89" s="9">
        <v>3965969</v>
      </c>
      <c r="M89" s="9">
        <v>3965969</v>
      </c>
      <c r="N89" s="9">
        <v>3965969</v>
      </c>
      <c r="O89" s="9">
        <v>3965969</v>
      </c>
    </row>
    <row r="90" spans="2:15">
      <c r="B90" s="19" t="s">
        <v>166</v>
      </c>
      <c r="C90" s="19" t="s">
        <v>167</v>
      </c>
      <c r="D90" s="19" t="s">
        <v>168</v>
      </c>
      <c r="E90" s="19" t="s">
        <v>112</v>
      </c>
      <c r="F90" s="20">
        <v>10</v>
      </c>
      <c r="G90" s="20">
        <v>9</v>
      </c>
      <c r="H90" s="20">
        <v>1</v>
      </c>
      <c r="I90" s="19" t="b">
        <v>0</v>
      </c>
      <c r="J90" s="9">
        <v>14855.151782444451</v>
      </c>
      <c r="K90" s="9">
        <v>48.570520250965707</v>
      </c>
      <c r="L90" s="9">
        <v>14868.284292</v>
      </c>
      <c r="M90" s="9">
        <v>14908.005716400001</v>
      </c>
      <c r="N90" s="9">
        <v>14760.384416000001</v>
      </c>
      <c r="O90" s="9">
        <v>14913.560165999999</v>
      </c>
    </row>
    <row r="91" spans="2:15">
      <c r="B91" s="19" t="s">
        <v>166</v>
      </c>
      <c r="C91" s="19" t="s">
        <v>167</v>
      </c>
      <c r="D91" s="19" t="s">
        <v>168</v>
      </c>
      <c r="E91" s="19" t="s">
        <v>113</v>
      </c>
      <c r="F91" s="20">
        <v>10</v>
      </c>
      <c r="G91" s="20">
        <v>10</v>
      </c>
      <c r="H91" s="20">
        <v>0</v>
      </c>
      <c r="I91" s="19" t="b">
        <v>0</v>
      </c>
      <c r="J91" s="9">
        <v>6698.966104000001</v>
      </c>
      <c r="K91" s="9">
        <v>39.42727174713486</v>
      </c>
      <c r="L91" s="9">
        <v>6712.8206455</v>
      </c>
      <c r="M91" s="9">
        <v>6740.8870000000006</v>
      </c>
      <c r="N91" s="9">
        <v>6623.2517910000006</v>
      </c>
      <c r="O91" s="9">
        <v>6747.0767500000002</v>
      </c>
    </row>
    <row r="92" spans="2:15">
      <c r="B92" s="19" t="s">
        <v>166</v>
      </c>
      <c r="C92" s="19" t="s">
        <v>167</v>
      </c>
      <c r="D92" s="19" t="s">
        <v>168</v>
      </c>
      <c r="E92" s="19" t="s">
        <v>115</v>
      </c>
      <c r="F92" s="20">
        <v>10</v>
      </c>
      <c r="G92" s="20">
        <v>10</v>
      </c>
      <c r="H92" s="20">
        <v>0</v>
      </c>
      <c r="I92" s="19" t="b">
        <v>0</v>
      </c>
      <c r="J92" s="9">
        <v>8405072</v>
      </c>
      <c r="K92" s="9">
        <v>0</v>
      </c>
      <c r="L92" s="9">
        <v>8405072</v>
      </c>
      <c r="M92" s="9">
        <v>8405072</v>
      </c>
      <c r="N92" s="9">
        <v>8405072</v>
      </c>
      <c r="O92" s="9">
        <v>8405072</v>
      </c>
    </row>
    <row r="93" spans="2:15">
      <c r="B93" s="19" t="s">
        <v>166</v>
      </c>
      <c r="C93" s="19" t="s">
        <v>169</v>
      </c>
      <c r="D93" s="19" t="s">
        <v>170</v>
      </c>
      <c r="E93" s="19" t="s">
        <v>112</v>
      </c>
      <c r="F93" s="20">
        <v>10</v>
      </c>
      <c r="G93" s="20">
        <v>10</v>
      </c>
      <c r="H93" s="20">
        <v>0</v>
      </c>
      <c r="I93" s="19" t="b">
        <v>0</v>
      </c>
      <c r="J93" s="9">
        <v>14879.345662600001</v>
      </c>
      <c r="K93" s="9">
        <v>32.818843183287299</v>
      </c>
      <c r="L93" s="9">
        <v>14876.2452495</v>
      </c>
      <c r="M93" s="9">
        <v>14932.4713273</v>
      </c>
      <c r="N93" s="9">
        <v>14835.592584</v>
      </c>
      <c r="O93" s="9">
        <v>14936.567959</v>
      </c>
    </row>
    <row r="94" spans="2:15">
      <c r="B94" s="19" t="s">
        <v>166</v>
      </c>
      <c r="C94" s="19" t="s">
        <v>169</v>
      </c>
      <c r="D94" s="19" t="s">
        <v>170</v>
      </c>
      <c r="E94" s="19" t="s">
        <v>113</v>
      </c>
      <c r="F94" s="20">
        <v>10</v>
      </c>
      <c r="G94" s="20">
        <v>10</v>
      </c>
      <c r="H94" s="20">
        <v>0</v>
      </c>
      <c r="I94" s="19" t="b">
        <v>0</v>
      </c>
      <c r="J94" s="9">
        <v>6736.5076833000003</v>
      </c>
      <c r="K94" s="9">
        <v>19.572284338262779</v>
      </c>
      <c r="L94" s="9">
        <v>6741.9625419999993</v>
      </c>
      <c r="M94" s="9">
        <v>6757.7025373500001</v>
      </c>
      <c r="N94" s="9">
        <v>6702.4715419999993</v>
      </c>
      <c r="O94" s="9">
        <v>6758.6396249999998</v>
      </c>
    </row>
    <row r="95" spans="2:15">
      <c r="B95" s="19" t="s">
        <v>166</v>
      </c>
      <c r="C95" s="19" t="s">
        <v>169</v>
      </c>
      <c r="D95" s="19" t="s">
        <v>170</v>
      </c>
      <c r="E95" s="19" t="s">
        <v>115</v>
      </c>
      <c r="F95" s="20">
        <v>10</v>
      </c>
      <c r="G95" s="20">
        <v>10</v>
      </c>
      <c r="H95" s="20">
        <v>0</v>
      </c>
      <c r="I95" s="19" t="b">
        <v>0</v>
      </c>
      <c r="J95" s="9">
        <v>8407400</v>
      </c>
      <c r="K95" s="9">
        <v>0</v>
      </c>
      <c r="L95" s="9">
        <v>8407400</v>
      </c>
      <c r="M95" s="9">
        <v>8407400</v>
      </c>
      <c r="N95" s="9">
        <v>8407400</v>
      </c>
      <c r="O95" s="9">
        <v>8407400</v>
      </c>
    </row>
    <row r="96" spans="2:15">
      <c r="B96" s="19" t="s">
        <v>171</v>
      </c>
      <c r="C96" s="19" t="s">
        <v>172</v>
      </c>
      <c r="D96" s="19" t="s">
        <v>173</v>
      </c>
      <c r="E96" s="19" t="s">
        <v>174</v>
      </c>
      <c r="F96" s="20">
        <v>10</v>
      </c>
      <c r="G96" s="20">
        <v>10</v>
      </c>
      <c r="H96" s="20">
        <v>0</v>
      </c>
      <c r="I96" s="19" t="b">
        <v>0</v>
      </c>
      <c r="J96" s="9">
        <v>57.430933200000013</v>
      </c>
      <c r="K96" s="9">
        <v>1.141717798040724</v>
      </c>
      <c r="L96" s="9">
        <v>57.0836045</v>
      </c>
      <c r="M96" s="9">
        <v>59.240691150000004</v>
      </c>
      <c r="N96" s="9">
        <v>56.007249999999999</v>
      </c>
      <c r="O96" s="9">
        <v>59.529291000000001</v>
      </c>
    </row>
    <row r="97" spans="2:15">
      <c r="B97" s="19" t="s">
        <v>171</v>
      </c>
      <c r="C97" s="19" t="s">
        <v>172</v>
      </c>
      <c r="D97" s="19" t="s">
        <v>175</v>
      </c>
      <c r="E97" s="19" t="s">
        <v>174</v>
      </c>
      <c r="F97" s="20">
        <v>10</v>
      </c>
      <c r="G97" s="20">
        <v>10</v>
      </c>
      <c r="H97" s="20">
        <v>0</v>
      </c>
      <c r="I97" s="19" t="b">
        <v>0</v>
      </c>
      <c r="J97" s="9">
        <v>56.469837299999988</v>
      </c>
      <c r="K97" s="9">
        <v>0.55788583142288861</v>
      </c>
      <c r="L97" s="9">
        <v>56.5426875</v>
      </c>
      <c r="M97" s="9">
        <v>57.268666149999987</v>
      </c>
      <c r="N97" s="9">
        <v>55.523500000000013</v>
      </c>
      <c r="O97" s="9">
        <v>57.599791000000003</v>
      </c>
    </row>
    <row r="98" spans="2:15">
      <c r="B98" s="19" t="s">
        <v>171</v>
      </c>
      <c r="C98" s="19" t="s">
        <v>176</v>
      </c>
      <c r="D98" s="19" t="s">
        <v>177</v>
      </c>
      <c r="E98" s="19" t="s">
        <v>178</v>
      </c>
      <c r="F98" s="20">
        <v>10</v>
      </c>
      <c r="G98" s="20">
        <v>10</v>
      </c>
      <c r="H98" s="20">
        <v>0</v>
      </c>
      <c r="I98" s="19" t="b">
        <v>0</v>
      </c>
      <c r="J98" s="9">
        <v>0.73599169999999992</v>
      </c>
      <c r="K98" s="9">
        <v>4.8386318206803051E-2</v>
      </c>
      <c r="L98" s="9">
        <v>0.72541699999999998</v>
      </c>
      <c r="M98" s="9">
        <v>0.81671470000000002</v>
      </c>
      <c r="N98" s="9">
        <v>0.68416699999999997</v>
      </c>
      <c r="O98" s="9">
        <v>0.83645800000000003</v>
      </c>
    </row>
    <row r="99" spans="2:15">
      <c r="B99" s="19" t="s">
        <v>171</v>
      </c>
      <c r="C99" s="19" t="s">
        <v>176</v>
      </c>
      <c r="D99" s="19" t="s">
        <v>177</v>
      </c>
      <c r="E99" s="19" t="s">
        <v>114</v>
      </c>
      <c r="F99" s="20">
        <v>10</v>
      </c>
      <c r="G99" s="20">
        <v>10</v>
      </c>
      <c r="H99" s="20">
        <v>0</v>
      </c>
      <c r="I99" s="19" t="b">
        <v>0</v>
      </c>
      <c r="J99" s="9">
        <v>2866</v>
      </c>
      <c r="K99" s="9">
        <v>0</v>
      </c>
      <c r="L99" s="9">
        <v>2866</v>
      </c>
      <c r="M99" s="9">
        <v>2866</v>
      </c>
      <c r="N99" s="9">
        <v>2866</v>
      </c>
      <c r="O99" s="9">
        <v>2866</v>
      </c>
    </row>
  </sheetData>
  <autoFilter ref="B1:O99" xr:uid="{00000000-0009-0000-0000-000006000000}"/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</vt:lpstr>
      <vt:lpstr>1_Loquat_Dominance</vt:lpstr>
      <vt:lpstr>2_Aurora_Security</vt:lpstr>
      <vt:lpstr>3_Paradigm_Compare</vt:lpstr>
      <vt:lpstr>4_Backend_Variance</vt:lpstr>
      <vt:lpstr>5_Update_Cost</vt:lpstr>
      <vt:lpstr>6_Raw_Summaries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Takumi Otsuka</cp:lastModifiedBy>
  <dcterms:created xsi:type="dcterms:W3CDTF">2026-04-19T06:35:14Z</dcterms:created>
  <dcterms:modified xsi:type="dcterms:W3CDTF">2026-04-19T12:42:19Z</dcterms:modified>
</cp:coreProperties>
</file>