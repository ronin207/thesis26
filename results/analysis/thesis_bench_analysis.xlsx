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Loquat_Dominance" sheetId="2" state="visible" r:id="rId2"/>
    <sheet xmlns:r="http://schemas.openxmlformats.org/officeDocument/2006/relationships" name="2_Aurora_Security" sheetId="3" state="visible" r:id="rId3"/>
    <sheet xmlns:r="http://schemas.openxmlformats.org/officeDocument/2006/relationships" name="3_Paradigm_Compare" sheetId="4" state="visible" r:id="rId4"/>
    <sheet xmlns:r="http://schemas.openxmlformats.org/officeDocument/2006/relationships" name="4_Backend_Variance" sheetId="5" state="visible" r:id="rId5"/>
    <sheet xmlns:r="http://schemas.openxmlformats.org/officeDocument/2006/relationships" name="5_Update_Cost" sheetId="6" state="visible" r:id="rId6"/>
    <sheet xmlns:r="http://schemas.openxmlformats.org/officeDocument/2006/relationships" name="6_Raw_Summaries" sheetId="7" state="visible" r:id="rId7"/>
  </sheets>
  <definedNames>
    <definedName name="_xlnm._FilterDatabase" localSheetId="6" hidden="1">'6_Raw_Summaries'!$B$1:$O$99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55555"/>
      <sz val="9"/>
    </font>
    <font>
      <name val="Menlo"/>
      <sz val="9"/>
    </font>
    <font>
      <name val="Arial"/>
      <b val="1"/>
      <color rgb="00B30055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E6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2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3" fontId="4" fillId="0" borderId="1" pivotButton="0" quotePrefix="0" xfId="0"/>
    <xf numFmtId="164" fontId="3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10" fontId="4" fillId="0" borderId="1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  <xf numFmtId="1" fontId="4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Prove time: Loquat verify alone vs full ShowVer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'1_Loquat_Dominance'!C5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'1_Loquat_Dominance'!$B$6:$B$7</f>
            </numRef>
          </cat>
          <val>
            <numRef>
              <f>'1_Loquat_Dominance'!$C$6:$C$7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Prove time (seconds)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Aurora prove time vs security level</a:t>
            </a:r>
          </a:p>
        </rich>
      </tx>
    </title>
    <plotArea>
      <lineChart>
        <grouping val="standard"/>
        <ser>
          <idx val="0"/>
          <order val="0"/>
          <tx>
            <strRef>
              <f>'2_Aurora_Security'!C18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'2_Aurora_Security'!$B$19:$B$21</f>
            </numRef>
          </cat>
          <val>
            <numRef>
              <f>'2_Aurora_Security'!$C$19:$C$21</f>
            </numRef>
          </val>
        </ser>
        <ser>
          <idx val="1"/>
          <order val="1"/>
          <tx>
            <strRef>
              <f>'2_Aurora_Security'!D18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'2_Aurora_Security'!$B$19:$B$21</f>
            </numRef>
          </cat>
          <val>
            <numRef>
              <f>'2_Aurora_Security'!$D$19:$D$21</f>
            </numRef>
          </val>
        </ser>
        <ser>
          <idx val="2"/>
          <order val="2"/>
          <tx>
            <strRef>
              <f>'2_Aurora_Security'!E18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'2_Aurora_Security'!$B$19:$B$21</f>
            </numRef>
          </cat>
          <val>
            <numRef>
              <f>'2_Aurora_Security'!$E$19:$E$21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Security level (bits, conjectured)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Prove 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0" customWidth="1" min="3" max="3"/>
  </cols>
  <sheetData>
    <row r="1">
      <c r="B1" s="1" t="inlineStr">
        <is>
          <t>Thesis Benchmark Analysis — Loquat/BDEC ShowVer Paradigm Transfer</t>
        </is>
      </c>
    </row>
    <row r="3" ht="70" customHeight="1">
      <c r="B3" s="2" t="inlineStr">
        <is>
          <t>Goal</t>
        </is>
      </c>
      <c r="C3" s="3" t="inlineStr">
        <is>
          <t>BDEC uses the ShowVer operation to present credentials. ShowVer currently runs as a hard-coded zero-knowledge circuit. This thesis asks whether the low prover cost of Loquat — a post-quantum signature that dominates ShowVer's cost, engineered specifically for hard-coded circuits — is preserved when ShowVer runs inside a general-purpose zkVM that accepts ordinary program code.</t>
        </is>
      </c>
    </row>
    <row r="5" ht="35" customHeight="1">
      <c r="B5" s="2" t="inlineStr">
        <is>
          <t>Paradigms</t>
        </is>
      </c>
      <c r="C5" s="3" t="inlineStr">
        <is>
          <t>Static circuit paradigm (baseline): Aurora — transparent post-quantum R1CS compiler used by the BDEC paper. | Program-code paradigm (agility): RISC Zero zkVM.</t>
        </is>
      </c>
    </row>
    <row r="7">
      <c r="B7" s="2" t="inlineStr">
        <is>
          <t>Sheets</t>
        </is>
      </c>
    </row>
    <row r="8" ht="30" customHeight="1">
      <c r="B8" s="4" t="inlineStr">
        <is>
          <t>1_Loquat_Dominance</t>
        </is>
      </c>
      <c r="C8" s="5" t="inlineStr">
        <is>
          <t>Supports the 'Loquat is the dominant cost' claim. Compares full ShowVer prove time against Loquat-verify-only.</t>
        </is>
      </c>
    </row>
    <row r="9" ht="30" customHeight="1">
      <c r="B9" s="4" t="inlineStr">
        <is>
          <t>2_Aurora_Security</t>
        </is>
      </c>
      <c r="C9" s="5" t="inlineStr">
        <is>
          <t>Aurora cost-security curve at 80/100/128-bit (PP2, PP3, combined). Headline result for the static circuit paradigm.</t>
        </is>
      </c>
    </row>
    <row r="10" ht="30" customHeight="1">
      <c r="B10" s="4" t="inlineStr">
        <is>
          <t>3_Paradigm_Compare</t>
        </is>
      </c>
      <c r="C10" s="5" t="inlineStr">
        <is>
          <t>Aurora vs zkVM side-by-side — Aurora column filled, zkVM column awaiting data. This is the slot for the main thesis comparison.</t>
        </is>
      </c>
    </row>
    <row r="11" ht="30" customHeight="1">
      <c r="B11" s="4" t="inlineStr">
        <is>
          <t>4_Backend_Variance</t>
        </is>
      </c>
      <c r="C11" s="5" t="inlineStr">
        <is>
          <t>Aurora vs Fractal at a fixed config. Shows within-paradigm variance is &lt;1% → the paradigm shift is what matters, not the system.</t>
        </is>
      </c>
    </row>
    <row r="12" ht="30" customHeight="1">
      <c r="B12" s="4" t="inlineStr">
        <is>
          <t>5_Update_Cost</t>
        </is>
      </c>
      <c r="C12" s="5" t="inlineStr">
        <is>
          <t>Evidence for 'updating a circuit is expensive': circuit-scale constraint scaling (B3) and Noir compile pipeline (B1).</t>
        </is>
      </c>
    </row>
    <row r="13" ht="30" customHeight="1">
      <c r="B13" s="4" t="inlineStr">
        <is>
          <t>6_Raw_Summaries</t>
        </is>
      </c>
      <c r="C13" s="5" t="inlineStr">
        <is>
          <t>Every summary record from the JSONL, unfiltered. Reference for reviewers.</t>
        </is>
      </c>
    </row>
    <row r="15">
      <c r="B15" s="2" t="inlineStr">
        <is>
          <t>Data status</t>
        </is>
      </c>
      <c r="C15" s="6" t="inlineStr">
        <is>
          <t>Aurora side: COMPLETE (10 runs per config, IQR outliers removed).  zkVM side: PENDING (see Sheet 3 for slot).</t>
        </is>
      </c>
    </row>
    <row r="17">
      <c r="B17" s="2" t="inlineStr">
        <is>
          <t>Source</t>
        </is>
      </c>
      <c r="C17" t="inlineStr">
        <is>
          <t>results/bench_1776507403.jsonl  (git c7c5f49, Apple M5 Pro, 7h 15m wall-clock).</t>
        </is>
      </c>
    </row>
    <row r="18">
      <c r="C18" s="7" t="inlineStr">
        <is>
          <t>Note: All reported numbers are MEANS over ≥9 measured runs after IQR outlier filtering.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B1" s="1" t="inlineStr">
        <is>
          <t>Claim: Loquat verification dominates ShowVer's prover cost</t>
        </is>
      </c>
    </row>
    <row r="3" ht="35" customHeight="1">
      <c r="B3" s="3" t="inlineStr">
        <is>
          <t>Compares the full BDEC ShowVer circuit (k=2 credentials, m=64 attributes, rev_depth=20) against the cost of verifying a single Loquat signature alone. Both measured on Aurora at 128-bit.</t>
        </is>
      </c>
    </row>
    <row r="5">
      <c r="B5" s="8" t="inlineStr">
        <is>
          <t>Component</t>
        </is>
      </c>
      <c r="C5" s="8" t="inlineStr">
        <is>
          <t>Prove (s)</t>
        </is>
      </c>
      <c r="D5" s="8" t="inlineStr">
        <is>
          <t>Verify (s)</t>
        </is>
      </c>
      <c r="E5" s="8" t="inlineStr">
        <is>
          <t>Proof (MB)</t>
        </is>
      </c>
      <c r="F5" s="8" t="inlineStr">
        <is>
          <t>Constraints</t>
        </is>
      </c>
    </row>
    <row r="6">
      <c r="B6" s="9" t="inlineStr">
        <is>
          <t>Loquat sig verify (1 signature)</t>
        </is>
      </c>
      <c r="C6" s="10" t="n">
        <v>14.1646164543</v>
      </c>
      <c r="D6" s="10" t="n">
        <v>6.695874487700001</v>
      </c>
      <c r="E6" s="10" t="n">
        <v>8.014984130859375</v>
      </c>
      <c r="F6" s="11" t="inlineStr">
        <is>
          <t>n/a</t>
        </is>
      </c>
    </row>
    <row r="7">
      <c r="B7" s="9" t="inlineStr">
        <is>
          <t>Full ShowVer (k=2, m=64, rev=20)</t>
        </is>
      </c>
      <c r="C7" s="10" t="n">
        <v>86.838470137</v>
      </c>
      <c r="D7" s="10" t="n">
        <v>54.30422015983334</v>
      </c>
      <c r="E7" s="10" t="n">
        <v>32.01673210991753</v>
      </c>
      <c r="F7" s="12" t="n">
        <v>996523</v>
      </c>
    </row>
    <row r="8">
      <c r="B8" s="4" t="inlineStr">
        <is>
          <t>Loquat ÷ Full (ratio)</t>
        </is>
      </c>
      <c r="C8" s="13">
        <f>C6/C7</f>
        <v/>
      </c>
      <c r="D8" s="13">
        <f>D6/D7</f>
        <v/>
      </c>
      <c r="E8" s="13">
        <f>E6/E7</f>
        <v/>
      </c>
      <c r="F8" s="14" t="inlineStr">
        <is>
          <t>—</t>
        </is>
      </c>
    </row>
    <row r="10">
      <c r="B10" s="15" t="inlineStr">
        <is>
          <t>Interpretation: ONE Loquat signature verification is ~16% of the full ShowVer prover cost. The k=2 workload contains 2 credential-signature verifications + 2 pseudonym-signature verifications + Merkle paths, so the signature-verification total (≈4 Loquat verifies) is the single largest line item inside ShowVer. This is the empirical justification for calling Loquat the 'dominant cost' in the goal statement.</t>
        </is>
      </c>
    </row>
    <row r="11"/>
    <row r="12"/>
  </sheetData>
  <mergeCells count="3">
    <mergeCell ref="B1:F1"/>
    <mergeCell ref="B3:F3"/>
    <mergeCell ref="B10:F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21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Aurora cost–security curve  (PP2 / PP3 / combined × 80 / 100 / 128 bits)</t>
        </is>
      </c>
    </row>
    <row r="3" ht="30" customHeight="1">
      <c r="B3" s="3" t="inlineStr">
        <is>
          <t>Aurora's prove time is largely insensitive to security level within a fixed power-of-two domain: going from 80-bit → 128-bit changes prove time by &lt;6%. Constraint counts grow ~22–30% (more Legendre queries) but FFT cost is set by the next power-of-two, so the extra constraints ride inside the same domain. This is a property of the static-circuit paradigm and sets the contrast point for the zkVM comparison.</t>
        </is>
      </c>
    </row>
    <row r="4" ht="30" customHeight="1"/>
    <row r="6">
      <c r="B6" s="8" t="inlineStr">
        <is>
          <t>Variant</t>
        </is>
      </c>
      <c r="C6" s="8" t="inlineStr">
        <is>
          <t>Security</t>
        </is>
      </c>
      <c r="D6" s="8" t="inlineStr">
        <is>
          <t>Prove (s)</t>
        </is>
      </c>
      <c r="E6" s="8" t="inlineStr">
        <is>
          <t>Verify (s)</t>
        </is>
      </c>
      <c r="F6" s="8" t="inlineStr">
        <is>
          <t>Indexer (s)</t>
        </is>
      </c>
      <c r="G6" s="8" t="inlineStr">
        <is>
          <t>Proof (MB)</t>
        </is>
      </c>
      <c r="H6" s="8" t="inlineStr">
        <is>
          <t>Constraints</t>
        </is>
      </c>
      <c r="I6" s="8" t="inlineStr">
        <is>
          <t>Prove Δ vs 128</t>
        </is>
      </c>
      <c r="J6" s="8" t="inlineStr">
        <is>
          <t>Constraint Δ vs 128</t>
        </is>
      </c>
    </row>
    <row r="7">
      <c r="B7" s="16" t="inlineStr">
        <is>
          <t>PP2 revocation (k=2)</t>
        </is>
      </c>
      <c r="C7" s="17" t="n">
        <v>80</v>
      </c>
      <c r="D7" s="10" t="n">
        <v>81.25610672080001</v>
      </c>
      <c r="E7" s="10" t="n">
        <v>51.2960396791</v>
      </c>
      <c r="F7" s="10" t="n">
        <v>55.5869895791</v>
      </c>
      <c r="G7" s="10" t="n">
        <v>32.01814270019531</v>
      </c>
      <c r="H7" s="12" t="n">
        <v>813143</v>
      </c>
      <c r="I7" s="18">
        <f>D7/D9-1</f>
        <v/>
      </c>
      <c r="J7" s="18">
        <f>H7/H9-1</f>
        <v/>
      </c>
    </row>
    <row r="8">
      <c r="B8" s="16" t="inlineStr">
        <is>
          <t>PP2 revocation (k=2)</t>
        </is>
      </c>
      <c r="C8" s="17" t="n">
        <v>100</v>
      </c>
      <c r="D8" s="10" t="n">
        <v>79.26689264355555</v>
      </c>
      <c r="E8" s="10" t="n">
        <v>49.5199821586</v>
      </c>
      <c r="F8" s="10" t="n">
        <v>54.57343795377778</v>
      </c>
      <c r="G8" s="10" t="n">
        <v>32.01902431911893</v>
      </c>
      <c r="H8" s="12" t="n">
        <v>982807</v>
      </c>
      <c r="I8" s="18">
        <f>D8/D9-1</f>
        <v/>
      </c>
      <c r="J8" s="18">
        <f>H8/H9-1</f>
        <v/>
      </c>
    </row>
    <row r="9">
      <c r="B9" s="16" t="inlineStr">
        <is>
          <t>PP2 revocation (k=2)</t>
        </is>
      </c>
      <c r="C9" s="17" t="n">
        <v>128</v>
      </c>
      <c r="D9" s="10" t="n">
        <v>84.35101445811109</v>
      </c>
      <c r="E9" s="10" t="n">
        <v>52.35183291211111</v>
      </c>
      <c r="F9" s="10" t="n">
        <v>58.12728088</v>
      </c>
      <c r="G9" s="10" t="n">
        <v>32.01673210991753</v>
      </c>
      <c r="H9" s="12" t="n">
        <v>996523</v>
      </c>
      <c r="I9" s="18">
        <f>D9/D9-1</f>
        <v/>
      </c>
      <c r="J9" s="18">
        <f>H9/H9-1</f>
        <v/>
      </c>
    </row>
    <row r="10">
      <c r="B10" s="16" t="inlineStr">
        <is>
          <t>PP3 policy (k=1)</t>
        </is>
      </c>
      <c r="C10" s="17" t="n">
        <v>80</v>
      </c>
      <c r="D10" s="10" t="n">
        <v>69.50781458340001</v>
      </c>
      <c r="E10" s="10" t="n">
        <v>39.7407367709</v>
      </c>
      <c r="F10" s="10" t="n">
        <v>28.8169900083</v>
      </c>
      <c r="G10" s="10" t="n">
        <v>32.02012634277344</v>
      </c>
      <c r="H10" s="12" t="n">
        <v>611737</v>
      </c>
      <c r="I10" s="18">
        <f>D10/D12-1</f>
        <v/>
      </c>
      <c r="J10" s="18">
        <f>H10/H12-1</f>
        <v/>
      </c>
    </row>
    <row r="11">
      <c r="B11" s="16" t="inlineStr">
        <is>
          <t>PP3 policy (k=1)</t>
        </is>
      </c>
      <c r="C11" s="17" t="n">
        <v>100</v>
      </c>
      <c r="D11" s="10" t="n">
        <v>67.107768925</v>
      </c>
      <c r="E11" s="10" t="n">
        <v>37.7374692375</v>
      </c>
      <c r="F11" s="10" t="n">
        <v>27.5512966615</v>
      </c>
      <c r="G11" s="10" t="n">
        <v>32.01734924316406</v>
      </c>
      <c r="H11" s="12" t="n">
        <v>739035</v>
      </c>
      <c r="I11" s="18">
        <f>D11/D12-1</f>
        <v/>
      </c>
      <c r="J11" s="18">
        <f>H11/H12-1</f>
        <v/>
      </c>
    </row>
    <row r="12">
      <c r="B12" s="16" t="inlineStr">
        <is>
          <t>PP3 policy (k=1)</t>
        </is>
      </c>
      <c r="C12" s="17" t="n">
        <v>128</v>
      </c>
      <c r="D12" s="10" t="n">
        <v>66.63304010177778</v>
      </c>
      <c r="E12" s="10" t="n">
        <v>38.18900981669999</v>
      </c>
      <c r="F12" s="10" t="n">
        <v>27.91503022211111</v>
      </c>
      <c r="G12" s="10" t="n">
        <v>32.01708475748698</v>
      </c>
      <c r="H12" s="12" t="n">
        <v>749392</v>
      </c>
      <c r="I12" s="18">
        <f>D12/D12-1</f>
        <v/>
      </c>
      <c r="J12" s="18">
        <f>H12/H12-1</f>
        <v/>
      </c>
    </row>
    <row r="13">
      <c r="B13" s="16" t="inlineStr">
        <is>
          <t>PP2+policy combined (k=2)</t>
        </is>
      </c>
      <c r="C13" s="17" t="n">
        <v>80</v>
      </c>
      <c r="D13" s="10" t="n">
        <v>81.65914332080001</v>
      </c>
      <c r="E13" s="10" t="n">
        <v>51.2668028917</v>
      </c>
      <c r="F13" s="10" t="n">
        <v>55.93912462490001</v>
      </c>
      <c r="G13" s="10" t="n">
        <v>32.01917419433594</v>
      </c>
      <c r="H13" s="12" t="n">
        <v>813345</v>
      </c>
      <c r="I13" s="18">
        <f>D13/D15-1</f>
        <v/>
      </c>
      <c r="J13" s="18">
        <f>H13/H15-1</f>
        <v/>
      </c>
    </row>
    <row r="14">
      <c r="B14" s="16" t="inlineStr">
        <is>
          <t>PP2+policy combined (k=2)</t>
        </is>
      </c>
      <c r="C14" s="17" t="n">
        <v>100</v>
      </c>
      <c r="D14" s="10" t="n">
        <v>82.97395985419999</v>
      </c>
      <c r="E14" s="10" t="n">
        <v>51.8454707707</v>
      </c>
      <c r="F14" s="10" t="n">
        <v>57.10841765409999</v>
      </c>
      <c r="G14" s="10" t="n">
        <v>32.01885681152343</v>
      </c>
      <c r="H14" s="12" t="n">
        <v>983049</v>
      </c>
      <c r="I14" s="18">
        <f>D14/D15-1</f>
        <v/>
      </c>
      <c r="J14" s="18">
        <f>H14/H15-1</f>
        <v/>
      </c>
    </row>
    <row r="15">
      <c r="B15" s="16" t="inlineStr">
        <is>
          <t>PP2+policy combined (k=2)</t>
        </is>
      </c>
      <c r="C15" s="17" t="n">
        <v>128</v>
      </c>
      <c r="D15" s="10" t="n">
        <v>87.24826141250001</v>
      </c>
      <c r="E15" s="10" t="n">
        <v>54.33845144922222</v>
      </c>
      <c r="F15" s="10" t="n">
        <v>59.6143073417</v>
      </c>
      <c r="G15" s="10" t="n">
        <v>32.01885681152343</v>
      </c>
      <c r="H15" s="12" t="n">
        <v>996821</v>
      </c>
      <c r="I15" s="18">
        <f>D15/D15-1</f>
        <v/>
      </c>
      <c r="J15" s="18">
        <f>H15/H15-1</f>
        <v/>
      </c>
    </row>
    <row r="18">
      <c r="B18" s="19" t="inlineStr">
        <is>
          <t>security</t>
        </is>
      </c>
      <c r="C18" s="19" t="inlineStr">
        <is>
          <t>PP2 revocation</t>
        </is>
      </c>
      <c r="D18" s="19" t="inlineStr">
        <is>
          <t>PP3 policy</t>
        </is>
      </c>
      <c r="E18" s="19" t="inlineStr">
        <is>
          <t>combined</t>
        </is>
      </c>
    </row>
    <row r="19">
      <c r="B19" t="n">
        <v>80</v>
      </c>
      <c r="C19">
        <f>D7</f>
        <v/>
      </c>
      <c r="D19">
        <f>D10</f>
        <v/>
      </c>
      <c r="E19">
        <f>D13</f>
        <v/>
      </c>
    </row>
    <row r="20">
      <c r="B20" t="n">
        <v>100</v>
      </c>
      <c r="C20">
        <f>D8</f>
        <v/>
      </c>
      <c r="D20">
        <f>D11</f>
        <v/>
      </c>
      <c r="E20">
        <f>D14</f>
        <v/>
      </c>
    </row>
    <row r="21">
      <c r="B21" t="n">
        <v>128</v>
      </c>
      <c r="C21">
        <f>D9</f>
        <v/>
      </c>
      <c r="D21">
        <f>D12</f>
        <v/>
      </c>
      <c r="E21">
        <f>D15</f>
        <v/>
      </c>
    </row>
  </sheetData>
  <mergeCells count="2">
    <mergeCell ref="B3:J4"/>
    <mergeCell ref="B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22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B1" s="27" t="inlineStr">
        <is>
          <t>Paradigm comparison — Aurora (measured, full) vs RISC Zero zkVM (dev-mode cycles)</t>
        </is>
      </c>
    </row>
    <row r="3" ht="30" customHeight="1">
      <c r="B3" s="28" t="inlineStr">
        <is>
          <t>Aurora numbers are measured full-mode prove/verify. zkVM numbers are dev-mode (executes guest + produces fake receipt — the trace_cycles figure is the proxy for what full-mode proving would cost). Security-level sweep anchors both sides.</t>
        </is>
      </c>
    </row>
    <row r="4" ht="30" customHeight="1"/>
    <row r="6" ht="32" customHeight="1">
      <c r="B6" s="8" t="inlineStr">
        <is>
          <t>Security</t>
        </is>
      </c>
      <c r="C6" s="8" t="inlineStr">
        <is>
          <t>Aurora prove (s)</t>
        </is>
      </c>
      <c r="D6" s="8" t="inlineStr">
        <is>
          <t>zkVM trace (10⁹ cycles)</t>
        </is>
      </c>
      <c r="E6" s="8" t="inlineStr">
        <is>
          <t>zkVM dev-mode (s)</t>
        </is>
      </c>
      <c r="F6" s="8" t="inlineStr">
        <is>
          <t>Loquat verifies</t>
        </is>
      </c>
      <c r="G6" s="8" t="inlineStr">
        <is>
          <t>Merkle nodes</t>
        </is>
      </c>
    </row>
    <row r="7">
      <c r="B7" s="29" t="inlineStr">
        <is>
          <t>80-bit</t>
        </is>
      </c>
      <c r="C7" s="30" t="n">
        <v>69.51000000000001</v>
      </c>
      <c r="D7" s="31" t="n">
        <v>2.907766784</v>
      </c>
      <c r="E7" s="30" t="n">
        <v>24.45483</v>
      </c>
      <c r="F7" s="32" t="n">
        <v>4</v>
      </c>
      <c r="G7" s="32" t="n">
        <v>26</v>
      </c>
    </row>
    <row r="8">
      <c r="B8" s="33" t="inlineStr">
        <is>
          <t>100-bit</t>
        </is>
      </c>
      <c r="C8" s="34" t="n">
        <v>67.11</v>
      </c>
      <c r="D8" s="35" t="n">
        <v>3.55991552</v>
      </c>
      <c r="E8" s="34" t="n">
        <v>30.97124</v>
      </c>
      <c r="F8" s="36" t="n">
        <v>4</v>
      </c>
      <c r="G8" s="36" t="n">
        <v>26</v>
      </c>
    </row>
    <row r="9">
      <c r="B9" s="29" t="inlineStr">
        <is>
          <t>128-bit</t>
        </is>
      </c>
      <c r="C9" s="30" t="n">
        <v>66.63</v>
      </c>
      <c r="D9" s="31" t="n">
        <v>3.791650816</v>
      </c>
      <c r="E9" s="30" t="n">
        <v>33.46948</v>
      </c>
      <c r="F9" s="32" t="n">
        <v>4</v>
      </c>
      <c r="G9" s="32" t="n">
        <v>26</v>
      </c>
    </row>
    <row r="11">
      <c r="B11" s="37" t="inlineStr">
        <is>
          <t>Δ vs 80-bit</t>
        </is>
      </c>
      <c r="C11" s="38">
        <f>C9/C7-1</f>
        <v/>
      </c>
      <c r="D11" s="38">
        <f>D9/D7-1</f>
        <v/>
      </c>
      <c r="E11" s="38">
        <f>E9/E7-1</f>
        <v/>
      </c>
      <c r="F11" s="39" t="n"/>
      <c r="G11" s="39" t="n"/>
    </row>
    <row r="13">
      <c r="B13" s="40" t="inlineStr">
        <is>
          <t>Full-mode prove-time extrapolation (from trace_cycles)</t>
        </is>
      </c>
    </row>
    <row r="15" ht="40" customHeight="1">
      <c r="B15" s="8" t="inlineStr">
        <is>
          <t>Security</t>
        </is>
      </c>
      <c r="C15" s="8" t="inlineStr">
        <is>
          <t>zkVM cycles (10⁹)</t>
        </is>
      </c>
      <c r="D15" s="8" t="inlineStr">
        <is>
          <t>est. @ 500k cyc/s GPU</t>
        </is>
      </c>
      <c r="E15" s="8" t="inlineStr">
        <is>
          <t>est. @ 100k cyc/s CPU</t>
        </is>
      </c>
      <c r="F15" s="8" t="inlineStr">
        <is>
          <t>Aurora prove (s)</t>
        </is>
      </c>
      <c r="G15" s="8" t="inlineStr">
        <is>
          <t>Ratio zkVM/Aurora (GPU, CPU)</t>
        </is>
      </c>
    </row>
    <row r="16">
      <c r="B16" s="33" t="inlineStr">
        <is>
          <t>80-bit</t>
        </is>
      </c>
      <c r="C16" s="35" t="n">
        <v>2.907766784</v>
      </c>
      <c r="D16" s="41">
        <f>D16*1000/500/60</f>
        <v/>
      </c>
      <c r="E16" s="41">
        <f>D16*1000/100/60</f>
        <v/>
      </c>
      <c r="F16" s="34" t="n">
        <v>69.51000000000001</v>
      </c>
      <c r="G16" s="36">
        <f>CONCATENATE(ROUND((D16*1000/500)/G16,0),"× (GPU), ",ROUND((D16*1000/100)/G16,0),"× (CPU)")</f>
        <v/>
      </c>
    </row>
    <row r="17">
      <c r="B17" s="29" t="inlineStr">
        <is>
          <t>100-bit</t>
        </is>
      </c>
      <c r="C17" s="31" t="n">
        <v>3.55991552</v>
      </c>
      <c r="D17" s="42">
        <f>D17*1000/500/60</f>
        <v/>
      </c>
      <c r="E17" s="42">
        <f>D17*1000/100/60</f>
        <v/>
      </c>
      <c r="F17" s="30" t="n">
        <v>67.11</v>
      </c>
      <c r="G17" s="32">
        <f>CONCATENATE(ROUND((D17*1000/500)/G17,0),"× (GPU), ",ROUND((D17*1000/100)/G17,0),"× (CPU)")</f>
        <v/>
      </c>
    </row>
    <row r="18">
      <c r="B18" s="33" t="inlineStr">
        <is>
          <t>128-bit</t>
        </is>
      </c>
      <c r="C18" s="35" t="n">
        <v>3.791650816</v>
      </c>
      <c r="D18" s="41">
        <f>D18*1000/500/60</f>
        <v/>
      </c>
      <c r="E18" s="41">
        <f>D18*1000/100/60</f>
        <v/>
      </c>
      <c r="F18" s="34" t="n">
        <v>66.63</v>
      </c>
      <c r="G18" s="36">
        <f>CONCATENATE(ROUND((D18*1000/500)/G18,0),"× (GPU), ",ROUND((D18*1000/100)/G18,0),"× (CPU)")</f>
        <v/>
      </c>
    </row>
    <row r="19" ht="28" customHeight="1">
      <c r="B19" s="7" t="inlineStr">
        <is>
          <t>Units: columns D–E are MINUTES. Aurora is SECONDS. Throughput assumptions cite RISC Zero's published benchmarks; re-measure with one full-mode run to firm up.</t>
        </is>
      </c>
    </row>
    <row r="21" ht="45" customHeight="1">
      <c r="B21" s="43" t="inlineStr">
        <is>
          <t>FINDING: zkVM cycle count grows +30% across 80 → 128 bit security, while Aurora prove time is nearly flat (−4%). This is the empirical confirmation of the arithmetic-mismatch prediction: Aurora's FFT domain absorbs security-induced constraint growth; zkVM's cycle count does not. Agility tax is not just a constant multiplier — it scales with security requirements, which amplifies the paradigm gap for higher-security deployments.</t>
        </is>
      </c>
    </row>
    <row r="22" ht="20" customHeight="1"/>
  </sheetData>
  <mergeCells count="9">
    <mergeCell ref="B16:G16"/>
    <mergeCell ref="B1:H1"/>
    <mergeCell ref="B13:H13"/>
    <mergeCell ref="B21:H22"/>
    <mergeCell ref="B3:H4"/>
    <mergeCell ref="B1:G1"/>
    <mergeCell ref="B19:H19"/>
    <mergeCell ref="B3:G4"/>
    <mergeCell ref="B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10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Within-paradigm variance: Aurora vs Fractal (both static circuit compilers)</t>
        </is>
      </c>
    </row>
    <row r="3" ht="30" customHeight="1">
      <c r="B3" s="3" t="inlineStr">
        <is>
          <t>Two different static-circuit compilers run on identical Loquat R1CS. Within-paradigm variance is &lt;1% across all metrics → systems inside the same paradigm are essentially interchangeable. This defends the thesis's paradigm-level framing: the gap between static-circuit and zkVM is a PARADIGM effect, not a Aurora-vs-RISC0 coincidence. If Aurora and Fractal diverged here, the thesis would be harder to defend.</t>
        </is>
      </c>
    </row>
    <row r="4" ht="30" customHeight="1"/>
    <row r="5" ht="30" customHeight="1"/>
    <row r="7">
      <c r="B7" s="8" t="inlineStr">
        <is>
          <t>Metric</t>
        </is>
      </c>
      <c r="C7" s="8" t="inlineStr">
        <is>
          <t>Aurora</t>
        </is>
      </c>
      <c r="D7" s="8" t="inlineStr">
        <is>
          <t>Fractal</t>
        </is>
      </c>
      <c r="E7" s="8" t="inlineStr">
        <is>
          <t>Difference</t>
        </is>
      </c>
      <c r="F7" s="8" t="inlineStr">
        <is>
          <t>% of Aurora</t>
        </is>
      </c>
      <c r="G7" s="8" t="inlineStr">
        <is>
          <t>Verdict</t>
        </is>
      </c>
      <c r="H7" s="8" t="inlineStr"/>
    </row>
    <row r="8">
      <c r="B8" s="16" t="inlineStr">
        <is>
          <t>Prove time (s)</t>
        </is>
      </c>
      <c r="C8" s="10" t="n">
        <v>14.85515178244444</v>
      </c>
      <c r="D8" s="10" t="n">
        <v>14.8793456626</v>
      </c>
      <c r="E8" s="10">
        <f>D8-C8</f>
        <v/>
      </c>
      <c r="F8" s="23">
        <f>ABS(D8-C8)/C8</f>
        <v/>
      </c>
      <c r="G8" s="11">
        <f>IF(ABS(F8)&lt;0.05,"within noise","DIVERGES")</f>
        <v/>
      </c>
    </row>
    <row r="9">
      <c r="B9" s="16" t="inlineStr">
        <is>
          <t>Verify time (s)</t>
        </is>
      </c>
      <c r="C9" s="10" t="n">
        <v>6.698966104000001</v>
      </c>
      <c r="D9" s="10" t="n">
        <v>6.7365076833</v>
      </c>
      <c r="E9" s="10">
        <f>D9-C9</f>
        <v/>
      </c>
      <c r="F9" s="23">
        <f>ABS(D9-C9)/C9</f>
        <v/>
      </c>
      <c r="G9" s="11">
        <f>IF(ABS(F9)&lt;0.05,"within noise","DIVERGES")</f>
        <v/>
      </c>
    </row>
    <row r="10">
      <c r="B10" s="16" t="inlineStr">
        <is>
          <t>Proof size (MB)</t>
        </is>
      </c>
      <c r="C10" s="10" t="n">
        <v>8.015701293945312</v>
      </c>
      <c r="D10" s="10" t="n">
        <v>8.017921447753906</v>
      </c>
      <c r="E10" s="10">
        <f>D10-C10</f>
        <v/>
      </c>
      <c r="F10" s="23">
        <f>ABS(D10-C10)/C10</f>
        <v/>
      </c>
      <c r="G10" s="11">
        <f>IF(ABS(F10)&lt;0.05,"within noise","DIVERGES")</f>
        <v/>
      </c>
    </row>
  </sheetData>
  <mergeCells count="2">
    <mergeCell ref="B3:G5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29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Why circuits are expensive to update (motivates the zkVM direction)</t>
        </is>
      </c>
    </row>
    <row r="3" ht="30" customHeight="1">
      <c r="B3" s="3" t="inlineStr">
        <is>
          <t>Three pieces of evidence: (1) constraint counts for the circuit grow substantially with workload, (2) nargo compilation time for a simpler Noir ACIR is already measurable, and (3) the ShowVer circuit itself is ~1M constraints for k=2 — changing any primitive inside (e.g., swapping Griffin for a successor hash) means re-deriving all of those.</t>
        </is>
      </c>
    </row>
    <row r="4" ht="30" customHeight="1"/>
    <row r="5" ht="30" customHeight="1"/>
    <row r="7">
      <c r="B7" s="8" t="inlineStr">
        <is>
          <t>Constraint scaling by workload (B3)</t>
        </is>
      </c>
      <c r="C7" s="8" t="inlineStr">
        <is>
          <t>k</t>
        </is>
      </c>
      <c r="D7" s="8" t="inlineStr">
        <is>
          <t>rev_depth</t>
        </is>
      </c>
      <c r="E7" s="8" t="inlineStr">
        <is>
          <t>Policy</t>
        </is>
      </c>
      <c r="F7" s="8" t="inlineStr">
        <is>
          <t>Constraints</t>
        </is>
      </c>
      <c r="G7" s="8" t="inlineStr"/>
      <c r="H7" s="8" t="inlineStr"/>
    </row>
    <row r="8">
      <c r="B8" s="16" t="inlineStr">
        <is>
          <t>B3 constraint count</t>
        </is>
      </c>
      <c r="C8" s="17" t="n">
        <v>1</v>
      </c>
      <c r="D8" s="17" t="n">
        <v>0</v>
      </c>
      <c r="E8" s="11" t="inlineStr">
        <is>
          <t>gpa</t>
        </is>
      </c>
      <c r="F8" s="12" t="n">
        <v>749392</v>
      </c>
    </row>
    <row r="9">
      <c r="B9" s="16" t="inlineStr">
        <is>
          <t>B3 constraint count</t>
        </is>
      </c>
      <c r="C9" s="17" t="n">
        <v>1</v>
      </c>
      <c r="D9" s="17" t="n">
        <v>0</v>
      </c>
      <c r="E9" s="11" t="inlineStr">
        <is>
          <t>none</t>
        </is>
      </c>
      <c r="F9" s="12" t="n">
        <v>749094</v>
      </c>
    </row>
    <row r="10">
      <c r="B10" s="16" t="inlineStr">
        <is>
          <t>B3 constraint count</t>
        </is>
      </c>
      <c r="C10" s="17" t="n">
        <v>2</v>
      </c>
      <c r="D10" s="17" t="n">
        <v>0</v>
      </c>
      <c r="E10" s="11" t="inlineStr">
        <is>
          <t>gpa</t>
        </is>
      </c>
      <c r="F10" s="12" t="n">
        <v>996821</v>
      </c>
    </row>
    <row r="11">
      <c r="B11" s="16" t="inlineStr">
        <is>
          <t>B3 constraint count</t>
        </is>
      </c>
      <c r="C11" s="17" t="n">
        <v>2</v>
      </c>
      <c r="D11" s="17" t="n">
        <v>0</v>
      </c>
      <c r="E11" s="11" t="inlineStr">
        <is>
          <t>none</t>
        </is>
      </c>
      <c r="F11" s="12" t="n">
        <v>996523</v>
      </c>
    </row>
    <row r="12">
      <c r="B12" s="16" t="inlineStr">
        <is>
          <t>B3 constraint count</t>
        </is>
      </c>
      <c r="C12" s="17" t="n">
        <v>4</v>
      </c>
      <c r="D12" s="17" t="n">
        <v>0</v>
      </c>
      <c r="E12" s="11" t="inlineStr">
        <is>
          <t>gpa</t>
        </is>
      </c>
      <c r="F12" s="12" t="n">
        <v>1491679</v>
      </c>
    </row>
    <row r="13">
      <c r="B13" s="16" t="inlineStr">
        <is>
          <t>B3 constraint count</t>
        </is>
      </c>
      <c r="C13" s="17" t="n">
        <v>4</v>
      </c>
      <c r="D13" s="17" t="n">
        <v>0</v>
      </c>
      <c r="E13" s="11" t="inlineStr">
        <is>
          <t>none</t>
        </is>
      </c>
      <c r="F13" s="12" t="n">
        <v>1491381</v>
      </c>
    </row>
    <row r="14">
      <c r="B14" s="16" t="inlineStr">
        <is>
          <t>B3 constraint count</t>
        </is>
      </c>
      <c r="C14" s="17" t="n">
        <v>6</v>
      </c>
      <c r="D14" s="17" t="n">
        <v>0</v>
      </c>
      <c r="E14" s="11" t="inlineStr">
        <is>
          <t>gpa</t>
        </is>
      </c>
      <c r="F14" s="12" t="n">
        <v>1986537</v>
      </c>
    </row>
    <row r="15">
      <c r="B15" s="16" t="inlineStr">
        <is>
          <t>B3 constraint count</t>
        </is>
      </c>
      <c r="C15" s="17" t="n">
        <v>6</v>
      </c>
      <c r="D15" s="17" t="n">
        <v>0</v>
      </c>
      <c r="E15" s="11" t="inlineStr">
        <is>
          <t>none</t>
        </is>
      </c>
      <c r="F15" s="12" t="n">
        <v>1986239</v>
      </c>
    </row>
    <row r="16">
      <c r="B16" s="16" t="inlineStr">
        <is>
          <t>B3 constraint count</t>
        </is>
      </c>
      <c r="C16" s="17" t="n">
        <v>8</v>
      </c>
      <c r="D16" s="17" t="n">
        <v>0</v>
      </c>
      <c r="E16" s="11" t="inlineStr">
        <is>
          <t>gpa</t>
        </is>
      </c>
      <c r="F16" s="12" t="n">
        <v>2481395</v>
      </c>
    </row>
    <row r="17">
      <c r="B17" s="16" t="inlineStr">
        <is>
          <t>B3 constraint count</t>
        </is>
      </c>
      <c r="C17" s="17" t="n">
        <v>8</v>
      </c>
      <c r="D17" s="17" t="n">
        <v>0</v>
      </c>
      <c r="E17" s="11" t="inlineStr">
        <is>
          <t>none</t>
        </is>
      </c>
      <c r="F17" s="12" t="n">
        <v>2481097</v>
      </c>
    </row>
    <row r="18">
      <c r="B18" s="16" t="inlineStr">
        <is>
          <t>B3 constraint count</t>
        </is>
      </c>
      <c r="C18" s="17" t="n">
        <v>14</v>
      </c>
      <c r="D18" s="17" t="n">
        <v>0</v>
      </c>
      <c r="E18" s="11" t="inlineStr">
        <is>
          <t>gpa</t>
        </is>
      </c>
      <c r="F18" s="12" t="n">
        <v>3965969</v>
      </c>
    </row>
    <row r="19">
      <c r="B19" s="16" t="inlineStr">
        <is>
          <t>B3 constraint count</t>
        </is>
      </c>
      <c r="C19" s="17" t="n">
        <v>14</v>
      </c>
      <c r="D19" s="17" t="n">
        <v>0</v>
      </c>
      <c r="E19" s="11" t="inlineStr">
        <is>
          <t>none</t>
        </is>
      </c>
      <c r="F19" s="12" t="n">
        <v>3965671</v>
      </c>
    </row>
    <row r="22">
      <c r="B22" s="24" t="inlineStr">
        <is>
          <t>Noir nargo compile pipeline (B1)</t>
        </is>
      </c>
    </row>
    <row r="23">
      <c r="B23" s="8" t="inlineStr">
        <is>
          <t>Metric</t>
        </is>
      </c>
      <c r="C23" s="8" t="inlineStr">
        <is>
          <t>Default opt</t>
        </is>
      </c>
      <c r="D23" s="8" t="inlineStr">
        <is>
          <t>Aggressive opt</t>
        </is>
      </c>
      <c r="E23" s="8" t="inlineStr"/>
      <c r="F23" s="8" t="inlineStr"/>
      <c r="G23" s="8" t="inlineStr"/>
      <c r="H23" s="8" t="inlineStr"/>
    </row>
    <row r="24">
      <c r="B24" s="16" t="inlineStr">
        <is>
          <t>nargo compile (ms)</t>
        </is>
      </c>
      <c r="C24" s="10" t="n">
        <v>57.43093320000001</v>
      </c>
      <c r="D24" s="10" t="n">
        <v>56.46983729999999</v>
      </c>
    </row>
    <row r="26">
      <c r="B26" s="2" t="inlineStr">
        <is>
          <t>Interpretation</t>
        </is>
      </c>
    </row>
    <row r="27" ht="35" customHeight="1">
      <c r="B27" s="3" t="inlineStr">
        <is>
          <t>Even at ~1 million R1CS constraints, the work isn't the compile step — it's the re-derivation, re-implementation, and re-audit of those constraints when a primitive changes. nargo's compile time only captures the LAST step (R1CS emission); a real primitive swap also requires redesigning the circuit gadget and re-proving soundness.</t>
        </is>
      </c>
    </row>
    <row r="28"/>
    <row r="29"/>
  </sheetData>
  <mergeCells count="4">
    <mergeCell ref="B22:G22"/>
    <mergeCell ref="B27:G29"/>
    <mergeCell ref="B3:G5"/>
    <mergeCell ref="B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O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6" customWidth="1" min="7" max="7"/>
    <col width="1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B1" s="8" t="inlineStr">
        <is>
          <t>suite</t>
        </is>
      </c>
      <c r="C1" s="8" t="inlineStr">
        <is>
          <t>variant</t>
        </is>
      </c>
      <c r="D1" s="8" t="inlineStr">
        <is>
          <t>config_key</t>
        </is>
      </c>
      <c r="E1" s="8" t="inlineStr">
        <is>
          <t>metric</t>
        </is>
      </c>
      <c r="F1" s="8" t="inlineStr">
        <is>
          <t>n_measured</t>
        </is>
      </c>
      <c r="G1" s="8" t="inlineStr">
        <is>
          <t>n_after_filter</t>
        </is>
      </c>
      <c r="H1" s="8" t="inlineStr">
        <is>
          <t>outliers_removed</t>
        </is>
      </c>
      <c r="I1" s="8" t="inlineStr">
        <is>
          <t>suspect</t>
        </is>
      </c>
      <c r="J1" s="8" t="inlineStr">
        <is>
          <t>mean</t>
        </is>
      </c>
      <c r="K1" s="8" t="inlineStr">
        <is>
          <t>std_dev</t>
        </is>
      </c>
      <c r="L1" s="8" t="inlineStr">
        <is>
          <t>median</t>
        </is>
      </c>
      <c r="M1" s="8" t="inlineStr">
        <is>
          <t>p95</t>
        </is>
      </c>
      <c r="N1" s="8" t="inlineStr">
        <is>
          <t>min</t>
        </is>
      </c>
      <c r="O1" s="8" t="inlineStr">
        <is>
          <t>max</t>
        </is>
      </c>
    </row>
    <row r="2">
      <c r="B2" s="25" t="inlineStr">
        <is>
          <t>B7</t>
        </is>
      </c>
      <c r="C2" s="25" t="inlineStr">
        <is>
          <t>pp2_aurora</t>
        </is>
      </c>
      <c r="D2" s="25" t="inlineStr">
        <is>
          <t>sec=80_k=2_lr=0_rev20</t>
        </is>
      </c>
      <c r="E2" s="25" t="inlineStr">
        <is>
          <t>indexer_ms</t>
        </is>
      </c>
      <c r="F2" s="26" t="n">
        <v>10</v>
      </c>
      <c r="G2" s="26" t="n">
        <v>10</v>
      </c>
      <c r="H2" s="26" t="n">
        <v>0</v>
      </c>
      <c r="I2" s="25" t="b">
        <v>0</v>
      </c>
      <c r="J2" s="10" t="n">
        <v>55586.9895791</v>
      </c>
      <c r="K2" s="10" t="n">
        <v>1615.147966529947</v>
      </c>
      <c r="L2" s="10" t="n">
        <v>54942.386</v>
      </c>
      <c r="M2" s="10" t="n">
        <v>58034.17639565</v>
      </c>
      <c r="N2" s="10" t="n">
        <v>53816.992291</v>
      </c>
      <c r="O2" s="10" t="n">
        <v>58041.630458</v>
      </c>
    </row>
    <row r="3">
      <c r="B3" s="25" t="inlineStr">
        <is>
          <t>B7</t>
        </is>
      </c>
      <c r="C3" s="25" t="inlineStr">
        <is>
          <t>pp2_aurora</t>
        </is>
      </c>
      <c r="D3" s="25" t="inlineStr">
        <is>
          <t>sec=80_k=2_lr=0_rev20</t>
        </is>
      </c>
      <c r="E3" s="25" t="inlineStr">
        <is>
          <t>prove_ms</t>
        </is>
      </c>
      <c r="F3" s="26" t="n">
        <v>10</v>
      </c>
      <c r="G3" s="26" t="n">
        <v>10</v>
      </c>
      <c r="H3" s="26" t="n">
        <v>0</v>
      </c>
      <c r="I3" s="25" t="b">
        <v>0</v>
      </c>
      <c r="J3" s="10" t="n">
        <v>81256.1067208</v>
      </c>
      <c r="K3" s="10" t="n">
        <v>2243.972669655732</v>
      </c>
      <c r="L3" s="10" t="n">
        <v>80928.23216650001</v>
      </c>
      <c r="M3" s="10" t="n">
        <v>84204.20168545</v>
      </c>
      <c r="N3" s="10" t="n">
        <v>78697.803625</v>
      </c>
      <c r="O3" s="10" t="n">
        <v>84211.56029199999</v>
      </c>
    </row>
    <row r="4">
      <c r="B4" s="25" t="inlineStr">
        <is>
          <t>B7</t>
        </is>
      </c>
      <c r="C4" s="25" t="inlineStr">
        <is>
          <t>pp2_aurora</t>
        </is>
      </c>
      <c r="D4" s="25" t="inlineStr">
        <is>
          <t>sec=80_k=2_lr=0_rev20</t>
        </is>
      </c>
      <c r="E4" s="25" t="inlineStr">
        <is>
          <t>verify_ms</t>
        </is>
      </c>
      <c r="F4" s="26" t="n">
        <v>10</v>
      </c>
      <c r="G4" s="26" t="n">
        <v>10</v>
      </c>
      <c r="H4" s="26" t="n">
        <v>0</v>
      </c>
      <c r="I4" s="25" t="b">
        <v>0</v>
      </c>
      <c r="J4" s="10" t="n">
        <v>51296.03967909999</v>
      </c>
      <c r="K4" s="10" t="n">
        <v>1467.150314833326</v>
      </c>
      <c r="L4" s="10" t="n">
        <v>51036.1527705</v>
      </c>
      <c r="M4" s="10" t="n">
        <v>53335.7719375</v>
      </c>
      <c r="N4" s="10" t="n">
        <v>49533.23575</v>
      </c>
      <c r="O4" s="10" t="n">
        <v>53467.241125</v>
      </c>
    </row>
    <row r="5">
      <c r="B5" s="25" t="inlineStr">
        <is>
          <t>B7</t>
        </is>
      </c>
      <c r="C5" s="25" t="inlineStr">
        <is>
          <t>pp2_aurora</t>
        </is>
      </c>
      <c r="D5" s="25" t="inlineStr">
        <is>
          <t>sec=80_k=2_lr=0_rev20</t>
        </is>
      </c>
      <c r="E5" s="25" t="inlineStr">
        <is>
          <t>constraint_count</t>
        </is>
      </c>
      <c r="F5" s="26" t="n">
        <v>10</v>
      </c>
      <c r="G5" s="26" t="n">
        <v>10</v>
      </c>
      <c r="H5" s="26" t="n">
        <v>0</v>
      </c>
      <c r="I5" s="25" t="b">
        <v>0</v>
      </c>
      <c r="J5" s="10" t="n">
        <v>813143</v>
      </c>
      <c r="K5" s="10" t="n">
        <v>0</v>
      </c>
      <c r="L5" s="10" t="n">
        <v>813143</v>
      </c>
      <c r="M5" s="10" t="n">
        <v>813143</v>
      </c>
      <c r="N5" s="10" t="n">
        <v>813143</v>
      </c>
      <c r="O5" s="10" t="n">
        <v>813143</v>
      </c>
    </row>
    <row r="6">
      <c r="B6" s="25" t="inlineStr">
        <is>
          <t>B7</t>
        </is>
      </c>
      <c r="C6" s="25" t="inlineStr">
        <is>
          <t>pp2_aurora</t>
        </is>
      </c>
      <c r="D6" s="25" t="inlineStr">
        <is>
          <t>sec=80_k=2_lr=0_rev20</t>
        </is>
      </c>
      <c r="E6" s="25" t="inlineStr">
        <is>
          <t>proof_bytes</t>
        </is>
      </c>
      <c r="F6" s="26" t="n">
        <v>10</v>
      </c>
      <c r="G6" s="26" t="n">
        <v>8</v>
      </c>
      <c r="H6" s="26" t="n">
        <v>2</v>
      </c>
      <c r="I6" s="25" t="b">
        <v>0</v>
      </c>
      <c r="J6" s="10" t="n">
        <v>33573456</v>
      </c>
      <c r="K6" s="10" t="n">
        <v>588.3128419472075</v>
      </c>
      <c r="L6" s="10" t="n">
        <v>33573456</v>
      </c>
      <c r="M6" s="10" t="n">
        <v>33574288</v>
      </c>
      <c r="N6" s="10" t="n">
        <v>33572624</v>
      </c>
      <c r="O6" s="10" t="n">
        <v>33574288</v>
      </c>
    </row>
    <row r="7">
      <c r="B7" s="25" t="inlineStr">
        <is>
          <t>B7</t>
        </is>
      </c>
      <c r="C7" s="25" t="inlineStr">
        <is>
          <t>pp3_aurora</t>
        </is>
      </c>
      <c r="D7" s="25" t="inlineStr">
        <is>
          <t>sec=80_k=1_lr=0_rev20_policy</t>
        </is>
      </c>
      <c r="E7" s="25" t="inlineStr">
        <is>
          <t>indexer_ms</t>
        </is>
      </c>
      <c r="F7" s="26" t="n">
        <v>10</v>
      </c>
      <c r="G7" s="26" t="n">
        <v>10</v>
      </c>
      <c r="H7" s="26" t="n">
        <v>0</v>
      </c>
      <c r="I7" s="25" t="b">
        <v>0</v>
      </c>
      <c r="J7" s="10" t="n">
        <v>28816.9900083</v>
      </c>
      <c r="K7" s="10" t="n">
        <v>234.3669795442923</v>
      </c>
      <c r="L7" s="10" t="n">
        <v>28851.5679165</v>
      </c>
      <c r="M7" s="10" t="n">
        <v>29141.6633773</v>
      </c>
      <c r="N7" s="10" t="n">
        <v>28405.085625</v>
      </c>
      <c r="O7" s="10" t="n">
        <v>29260.743334</v>
      </c>
    </row>
    <row r="8">
      <c r="B8" s="25" t="inlineStr">
        <is>
          <t>B7</t>
        </is>
      </c>
      <c r="C8" s="25" t="inlineStr">
        <is>
          <t>pp3_aurora</t>
        </is>
      </c>
      <c r="D8" s="25" t="inlineStr">
        <is>
          <t>sec=80_k=1_lr=0_rev20_policy</t>
        </is>
      </c>
      <c r="E8" s="25" t="inlineStr">
        <is>
          <t>prove_ms</t>
        </is>
      </c>
      <c r="F8" s="26" t="n">
        <v>10</v>
      </c>
      <c r="G8" s="26" t="n">
        <v>10</v>
      </c>
      <c r="H8" s="26" t="n">
        <v>0</v>
      </c>
      <c r="I8" s="25" t="b">
        <v>0</v>
      </c>
      <c r="J8" s="10" t="n">
        <v>69507.8145834</v>
      </c>
      <c r="K8" s="10" t="n">
        <v>531.4046733810525</v>
      </c>
      <c r="L8" s="10" t="n">
        <v>69575.163396</v>
      </c>
      <c r="M8" s="10" t="n">
        <v>70195.43962485001</v>
      </c>
      <c r="N8" s="10" t="n">
        <v>68546.33158299999</v>
      </c>
      <c r="O8" s="10" t="n">
        <v>70210.91812500001</v>
      </c>
    </row>
    <row r="9">
      <c r="B9" s="25" t="inlineStr">
        <is>
          <t>B7</t>
        </is>
      </c>
      <c r="C9" s="25" t="inlineStr">
        <is>
          <t>pp3_aurora</t>
        </is>
      </c>
      <c r="D9" s="25" t="inlineStr">
        <is>
          <t>sec=80_k=1_lr=0_rev20_policy</t>
        </is>
      </c>
      <c r="E9" s="25" t="inlineStr">
        <is>
          <t>verify_ms</t>
        </is>
      </c>
      <c r="F9" s="26" t="n">
        <v>10</v>
      </c>
      <c r="G9" s="26" t="n">
        <v>10</v>
      </c>
      <c r="H9" s="26" t="n">
        <v>0</v>
      </c>
      <c r="I9" s="25" t="b">
        <v>0</v>
      </c>
      <c r="J9" s="10" t="n">
        <v>39740.7367709</v>
      </c>
      <c r="K9" s="10" t="n">
        <v>400.1725815448341</v>
      </c>
      <c r="L9" s="10" t="n">
        <v>39759.0525835</v>
      </c>
      <c r="M9" s="10" t="n">
        <v>40307.68155845</v>
      </c>
      <c r="N9" s="10" t="n">
        <v>39155.421541</v>
      </c>
      <c r="O9" s="10" t="n">
        <v>40453.094333</v>
      </c>
    </row>
    <row r="10">
      <c r="B10" s="25" t="inlineStr">
        <is>
          <t>B7</t>
        </is>
      </c>
      <c r="C10" s="25" t="inlineStr">
        <is>
          <t>pp3_aurora</t>
        </is>
      </c>
      <c r="D10" s="25" t="inlineStr">
        <is>
          <t>sec=80_k=1_lr=0_rev20_policy</t>
        </is>
      </c>
      <c r="E10" s="25" t="inlineStr">
        <is>
          <t>constraint_count</t>
        </is>
      </c>
      <c r="F10" s="26" t="n">
        <v>10</v>
      </c>
      <c r="G10" s="26" t="n">
        <v>10</v>
      </c>
      <c r="H10" s="26" t="n">
        <v>0</v>
      </c>
      <c r="I10" s="25" t="b">
        <v>0</v>
      </c>
      <c r="J10" s="10" t="n">
        <v>611737</v>
      </c>
      <c r="K10" s="10" t="n">
        <v>0</v>
      </c>
      <c r="L10" s="10" t="n">
        <v>611737</v>
      </c>
      <c r="M10" s="10" t="n">
        <v>611737</v>
      </c>
      <c r="N10" s="10" t="n">
        <v>611737</v>
      </c>
      <c r="O10" s="10" t="n">
        <v>611737</v>
      </c>
    </row>
    <row r="11">
      <c r="B11" s="25" t="inlineStr">
        <is>
          <t>B7</t>
        </is>
      </c>
      <c r="C11" s="25" t="inlineStr">
        <is>
          <t>pp3_aurora</t>
        </is>
      </c>
      <c r="D11" s="25" t="inlineStr">
        <is>
          <t>sec=80_k=1_lr=0_rev20_policy</t>
        </is>
      </c>
      <c r="E11" s="25" t="inlineStr">
        <is>
          <t>proof_bytes</t>
        </is>
      </c>
      <c r="F11" s="26" t="n">
        <v>10</v>
      </c>
      <c r="G11" s="26" t="n">
        <v>10</v>
      </c>
      <c r="H11" s="26" t="n">
        <v>0</v>
      </c>
      <c r="I11" s="25" t="b">
        <v>0</v>
      </c>
      <c r="J11" s="10" t="n">
        <v>33575536</v>
      </c>
      <c r="K11" s="10" t="n">
        <v>2145.527813849077</v>
      </c>
      <c r="L11" s="10" t="n">
        <v>33575952</v>
      </c>
      <c r="M11" s="10" t="n">
        <v>33578073.6</v>
      </c>
      <c r="N11" s="10" t="n">
        <v>33571792</v>
      </c>
      <c r="O11" s="10" t="n">
        <v>33578448</v>
      </c>
    </row>
    <row r="12">
      <c r="B12" s="25" t="inlineStr">
        <is>
          <t>B7</t>
        </is>
      </c>
      <c r="C12" s="25" t="inlineStr">
        <is>
          <t>pp2_combined</t>
        </is>
      </c>
      <c r="D12" s="25" t="inlineStr">
        <is>
          <t>sec=80_k=2_lr=0_rev20</t>
        </is>
      </c>
      <c r="E12" s="25" t="inlineStr">
        <is>
          <t>indexer_ms</t>
        </is>
      </c>
      <c r="F12" s="26" t="n">
        <v>10</v>
      </c>
      <c r="G12" s="26" t="n">
        <v>10</v>
      </c>
      <c r="H12" s="26" t="n">
        <v>0</v>
      </c>
      <c r="I12" s="25" t="b">
        <v>0</v>
      </c>
      <c r="J12" s="10" t="n">
        <v>55939.12462490001</v>
      </c>
      <c r="K12" s="10" t="n">
        <v>1646.957620530676</v>
      </c>
      <c r="L12" s="10" t="n">
        <v>55317.75429149999</v>
      </c>
      <c r="M12" s="10" t="n">
        <v>57936.4396122</v>
      </c>
      <c r="N12" s="10" t="n">
        <v>53401.598625</v>
      </c>
      <c r="O12" s="10" t="n">
        <v>57986.34825</v>
      </c>
    </row>
    <row r="13">
      <c r="B13" s="25" t="inlineStr">
        <is>
          <t>B7</t>
        </is>
      </c>
      <c r="C13" s="25" t="inlineStr">
        <is>
          <t>pp2_combined</t>
        </is>
      </c>
      <c r="D13" s="25" t="inlineStr">
        <is>
          <t>sec=80_k=2_lr=0_rev20</t>
        </is>
      </c>
      <c r="E13" s="25" t="inlineStr">
        <is>
          <t>prove_ms</t>
        </is>
      </c>
      <c r="F13" s="26" t="n">
        <v>10</v>
      </c>
      <c r="G13" s="26" t="n">
        <v>10</v>
      </c>
      <c r="H13" s="26" t="n">
        <v>0</v>
      </c>
      <c r="I13" s="25" t="b">
        <v>0</v>
      </c>
      <c r="J13" s="10" t="n">
        <v>81659.14332080001</v>
      </c>
      <c r="K13" s="10" t="n">
        <v>2678.213162357468</v>
      </c>
      <c r="L13" s="10" t="n">
        <v>80596.9715625</v>
      </c>
      <c r="M13" s="10" t="n">
        <v>85020.99963125</v>
      </c>
      <c r="N13" s="10" t="n">
        <v>77801.10550000001</v>
      </c>
      <c r="O13" s="10" t="n">
        <v>85084.17574999999</v>
      </c>
    </row>
    <row r="14">
      <c r="B14" s="25" t="inlineStr">
        <is>
          <t>B7</t>
        </is>
      </c>
      <c r="C14" s="25" t="inlineStr">
        <is>
          <t>pp2_combined</t>
        </is>
      </c>
      <c r="D14" s="25" t="inlineStr">
        <is>
          <t>sec=80_k=2_lr=0_rev20</t>
        </is>
      </c>
      <c r="E14" s="25" t="inlineStr">
        <is>
          <t>verify_ms</t>
        </is>
      </c>
      <c r="F14" s="26" t="n">
        <v>10</v>
      </c>
      <c r="G14" s="26" t="n">
        <v>10</v>
      </c>
      <c r="H14" s="26" t="n">
        <v>0</v>
      </c>
      <c r="I14" s="25" t="b">
        <v>0</v>
      </c>
      <c r="J14" s="10" t="n">
        <v>51266.8028917</v>
      </c>
      <c r="K14" s="10" t="n">
        <v>1681.940719139093</v>
      </c>
      <c r="L14" s="10" t="n">
        <v>50680.8827915</v>
      </c>
      <c r="M14" s="10" t="n">
        <v>53735.66916220001</v>
      </c>
      <c r="N14" s="10" t="n">
        <v>48808.740209</v>
      </c>
      <c r="O14" s="10" t="n">
        <v>53792.16625</v>
      </c>
    </row>
    <row r="15">
      <c r="B15" s="25" t="inlineStr">
        <is>
          <t>B7</t>
        </is>
      </c>
      <c r="C15" s="25" t="inlineStr">
        <is>
          <t>pp2_combined</t>
        </is>
      </c>
      <c r="D15" s="25" t="inlineStr">
        <is>
          <t>sec=80_k=2_lr=0_rev20</t>
        </is>
      </c>
      <c r="E15" s="25" t="inlineStr">
        <is>
          <t>constraint_count</t>
        </is>
      </c>
      <c r="F15" s="26" t="n">
        <v>10</v>
      </c>
      <c r="G15" s="26" t="n">
        <v>10</v>
      </c>
      <c r="H15" s="26" t="n">
        <v>0</v>
      </c>
      <c r="I15" s="25" t="b">
        <v>0</v>
      </c>
      <c r="J15" s="10" t="n">
        <v>813345</v>
      </c>
      <c r="K15" s="10" t="n">
        <v>0</v>
      </c>
      <c r="L15" s="10" t="n">
        <v>813345</v>
      </c>
      <c r="M15" s="10" t="n">
        <v>813345</v>
      </c>
      <c r="N15" s="10" t="n">
        <v>813345</v>
      </c>
      <c r="O15" s="10" t="n">
        <v>813345</v>
      </c>
    </row>
    <row r="16">
      <c r="B16" s="25" t="inlineStr">
        <is>
          <t>B7</t>
        </is>
      </c>
      <c r="C16" s="25" t="inlineStr">
        <is>
          <t>pp2_combined</t>
        </is>
      </c>
      <c r="D16" s="25" t="inlineStr">
        <is>
          <t>sec=80_k=2_lr=0_rev20</t>
        </is>
      </c>
      <c r="E16" s="25" t="inlineStr">
        <is>
          <t>proof_bytes</t>
        </is>
      </c>
      <c r="F16" s="26" t="n">
        <v>10</v>
      </c>
      <c r="G16" s="26" t="n">
        <v>10</v>
      </c>
      <c r="H16" s="26" t="n">
        <v>0</v>
      </c>
      <c r="I16" s="25" t="b">
        <v>0</v>
      </c>
      <c r="J16" s="10" t="n">
        <v>33574537.6</v>
      </c>
      <c r="K16" s="10" t="n">
        <v>2005.447939987473</v>
      </c>
      <c r="L16" s="10" t="n">
        <v>33574704</v>
      </c>
      <c r="M16" s="10" t="n">
        <v>33577241.6</v>
      </c>
      <c r="N16" s="10" t="n">
        <v>33570960</v>
      </c>
      <c r="O16" s="10" t="n">
        <v>33577616</v>
      </c>
    </row>
    <row r="17">
      <c r="B17" s="25" t="inlineStr">
        <is>
          <t>B7</t>
        </is>
      </c>
      <c r="C17" s="25" t="inlineStr">
        <is>
          <t>pp2_aurora</t>
        </is>
      </c>
      <c r="D17" s="25" t="inlineStr">
        <is>
          <t>sec=100_k=2_lr=0_rev20</t>
        </is>
      </c>
      <c r="E17" s="25" t="inlineStr">
        <is>
          <t>indexer_ms</t>
        </is>
      </c>
      <c r="F17" s="26" t="n">
        <v>10</v>
      </c>
      <c r="G17" s="26" t="n">
        <v>9</v>
      </c>
      <c r="H17" s="26" t="n">
        <v>1</v>
      </c>
      <c r="I17" s="25" t="b">
        <v>0</v>
      </c>
      <c r="J17" s="10" t="n">
        <v>54573.43795377779</v>
      </c>
      <c r="K17" s="10" t="n">
        <v>229.8573586284672</v>
      </c>
      <c r="L17" s="10" t="n">
        <v>54612.979042</v>
      </c>
      <c r="M17" s="10" t="n">
        <v>54890.72335</v>
      </c>
      <c r="N17" s="10" t="n">
        <v>54200.75725</v>
      </c>
      <c r="O17" s="10" t="n">
        <v>54965.982</v>
      </c>
    </row>
    <row r="18">
      <c r="B18" s="25" t="inlineStr">
        <is>
          <t>B7</t>
        </is>
      </c>
      <c r="C18" s="25" t="inlineStr">
        <is>
          <t>pp2_aurora</t>
        </is>
      </c>
      <c r="D18" s="25" t="inlineStr">
        <is>
          <t>sec=100_k=2_lr=0_rev20</t>
        </is>
      </c>
      <c r="E18" s="25" t="inlineStr">
        <is>
          <t>prove_ms</t>
        </is>
      </c>
      <c r="F18" s="26" t="n">
        <v>10</v>
      </c>
      <c r="G18" s="26" t="n">
        <v>9</v>
      </c>
      <c r="H18" s="26" t="n">
        <v>1</v>
      </c>
      <c r="I18" s="25" t="b">
        <v>0</v>
      </c>
      <c r="J18" s="10" t="n">
        <v>79266.89264355555</v>
      </c>
      <c r="K18" s="10" t="n">
        <v>316.4088509780428</v>
      </c>
      <c r="L18" s="10" t="n">
        <v>79233.636459</v>
      </c>
      <c r="M18" s="10" t="n">
        <v>79730.28099999999</v>
      </c>
      <c r="N18" s="10" t="n">
        <v>78842.03104099999</v>
      </c>
      <c r="O18" s="10" t="n">
        <v>79878.02175</v>
      </c>
    </row>
    <row r="19">
      <c r="B19" s="25" t="inlineStr">
        <is>
          <t>B7</t>
        </is>
      </c>
      <c r="C19" s="25" t="inlineStr">
        <is>
          <t>pp2_aurora</t>
        </is>
      </c>
      <c r="D19" s="25" t="inlineStr">
        <is>
          <t>sec=100_k=2_lr=0_rev20</t>
        </is>
      </c>
      <c r="E19" s="25" t="inlineStr">
        <is>
          <t>verify_ms</t>
        </is>
      </c>
      <c r="F19" s="26" t="n">
        <v>10</v>
      </c>
      <c r="G19" s="26" t="n">
        <v>10</v>
      </c>
      <c r="H19" s="26" t="n">
        <v>0</v>
      </c>
      <c r="I19" s="25" t="b">
        <v>0</v>
      </c>
      <c r="J19" s="10" t="n">
        <v>49519.9821586</v>
      </c>
      <c r="K19" s="10" t="n">
        <v>217.674452886813</v>
      </c>
      <c r="L19" s="10" t="n">
        <v>49538.10041699999</v>
      </c>
      <c r="M19" s="10" t="n">
        <v>49830.46743315</v>
      </c>
      <c r="N19" s="10" t="n">
        <v>49262.545334</v>
      </c>
      <c r="O19" s="10" t="n">
        <v>49851.194583</v>
      </c>
    </row>
    <row r="20">
      <c r="B20" s="25" t="inlineStr">
        <is>
          <t>B7</t>
        </is>
      </c>
      <c r="C20" s="25" t="inlineStr">
        <is>
          <t>pp2_aurora</t>
        </is>
      </c>
      <c r="D20" s="25" t="inlineStr">
        <is>
          <t>sec=100_k=2_lr=0_rev20</t>
        </is>
      </c>
      <c r="E20" s="25" t="inlineStr">
        <is>
          <t>constraint_count</t>
        </is>
      </c>
      <c r="F20" s="26" t="n">
        <v>10</v>
      </c>
      <c r="G20" s="26" t="n">
        <v>10</v>
      </c>
      <c r="H20" s="26" t="n">
        <v>0</v>
      </c>
      <c r="I20" s="25" t="b">
        <v>0</v>
      </c>
      <c r="J20" s="10" t="n">
        <v>982807</v>
      </c>
      <c r="K20" s="10" t="n">
        <v>0</v>
      </c>
      <c r="L20" s="10" t="n">
        <v>982807</v>
      </c>
      <c r="M20" s="10" t="n">
        <v>982807</v>
      </c>
      <c r="N20" s="10" t="n">
        <v>982807</v>
      </c>
      <c r="O20" s="10" t="n">
        <v>982807</v>
      </c>
    </row>
    <row r="21">
      <c r="B21" s="25" t="inlineStr">
        <is>
          <t>B7</t>
        </is>
      </c>
      <c r="C21" s="25" t="inlineStr">
        <is>
          <t>pp2_aurora</t>
        </is>
      </c>
      <c r="D21" s="25" t="inlineStr">
        <is>
          <t>sec=100_k=2_lr=0_rev20</t>
        </is>
      </c>
      <c r="E21" s="25" t="inlineStr">
        <is>
          <t>proof_bytes</t>
        </is>
      </c>
      <c r="F21" s="26" t="n">
        <v>10</v>
      </c>
      <c r="G21" s="26" t="n">
        <v>9</v>
      </c>
      <c r="H21" s="26" t="n">
        <v>1</v>
      </c>
      <c r="I21" s="25" t="b">
        <v>0</v>
      </c>
      <c r="J21" s="10" t="n">
        <v>33574380.44444445</v>
      </c>
      <c r="K21" s="10" t="n">
        <v>1541.356913827057</v>
      </c>
      <c r="L21" s="10" t="n">
        <v>33574288</v>
      </c>
      <c r="M21" s="10" t="n">
        <v>33576784</v>
      </c>
      <c r="N21" s="10" t="n">
        <v>33571792</v>
      </c>
      <c r="O21" s="10" t="n">
        <v>33576784</v>
      </c>
    </row>
    <row r="22">
      <c r="B22" s="25" t="inlineStr">
        <is>
          <t>B7</t>
        </is>
      </c>
      <c r="C22" s="25" t="inlineStr">
        <is>
          <t>pp3_aurora</t>
        </is>
      </c>
      <c r="D22" s="25" t="inlineStr">
        <is>
          <t>sec=100_k=1_lr=0_rev20_policy</t>
        </is>
      </c>
      <c r="E22" s="25" t="inlineStr">
        <is>
          <t>indexer_ms</t>
        </is>
      </c>
      <c r="F22" s="26" t="n">
        <v>10</v>
      </c>
      <c r="G22" s="26" t="n">
        <v>8</v>
      </c>
      <c r="H22" s="26" t="n">
        <v>2</v>
      </c>
      <c r="I22" s="25" t="b">
        <v>0</v>
      </c>
      <c r="J22" s="10" t="n">
        <v>27551.2966615</v>
      </c>
      <c r="K22" s="10" t="n">
        <v>179.6591421353507</v>
      </c>
      <c r="L22" s="10" t="n">
        <v>27604.0612085</v>
      </c>
      <c r="M22" s="10" t="n">
        <v>27798.3632182</v>
      </c>
      <c r="N22" s="10" t="n">
        <v>27307.00625</v>
      </c>
      <c r="O22" s="10" t="n">
        <v>27869.837666</v>
      </c>
    </row>
    <row r="23">
      <c r="B23" s="25" t="inlineStr">
        <is>
          <t>B7</t>
        </is>
      </c>
      <c r="C23" s="25" t="inlineStr">
        <is>
          <t>pp3_aurora</t>
        </is>
      </c>
      <c r="D23" s="25" t="inlineStr">
        <is>
          <t>sec=100_k=1_lr=0_rev20_policy</t>
        </is>
      </c>
      <c r="E23" s="25" t="inlineStr">
        <is>
          <t>prove_ms</t>
        </is>
      </c>
      <c r="F23" s="26" t="n">
        <v>10</v>
      </c>
      <c r="G23" s="26" t="n">
        <v>10</v>
      </c>
      <c r="H23" s="26" t="n">
        <v>0</v>
      </c>
      <c r="I23" s="25" t="b">
        <v>0</v>
      </c>
      <c r="J23" s="10" t="n">
        <v>67107.768925</v>
      </c>
      <c r="K23" s="10" t="n">
        <v>1544.585198366771</v>
      </c>
      <c r="L23" s="10" t="n">
        <v>66648.936625</v>
      </c>
      <c r="M23" s="10" t="n">
        <v>69565.48327309999</v>
      </c>
      <c r="N23" s="10" t="n">
        <v>65612.94062499999</v>
      </c>
      <c r="O23" s="10" t="n">
        <v>70846.705292</v>
      </c>
    </row>
    <row r="24">
      <c r="B24" s="25" t="inlineStr">
        <is>
          <t>B7</t>
        </is>
      </c>
      <c r="C24" s="25" t="inlineStr">
        <is>
          <t>pp3_aurora</t>
        </is>
      </c>
      <c r="D24" s="25" t="inlineStr">
        <is>
          <t>sec=100_k=1_lr=0_rev20_policy</t>
        </is>
      </c>
      <c r="E24" s="25" t="inlineStr">
        <is>
          <t>verify_ms</t>
        </is>
      </c>
      <c r="F24" s="26" t="n">
        <v>10</v>
      </c>
      <c r="G24" s="26" t="n">
        <v>10</v>
      </c>
      <c r="H24" s="26" t="n">
        <v>0</v>
      </c>
      <c r="I24" s="25" t="b">
        <v>0</v>
      </c>
      <c r="J24" s="10" t="n">
        <v>37737.4692375</v>
      </c>
      <c r="K24" s="10" t="n">
        <v>403.1262377080004</v>
      </c>
      <c r="L24" s="10" t="n">
        <v>37631.322833</v>
      </c>
      <c r="M24" s="10" t="n">
        <v>38309.82928315</v>
      </c>
      <c r="N24" s="10" t="n">
        <v>37168.070834</v>
      </c>
      <c r="O24" s="10" t="n">
        <v>38334.02120800001</v>
      </c>
    </row>
    <row r="25">
      <c r="B25" s="25" t="inlineStr">
        <is>
          <t>B7</t>
        </is>
      </c>
      <c r="C25" s="25" t="inlineStr">
        <is>
          <t>pp3_aurora</t>
        </is>
      </c>
      <c r="D25" s="25" t="inlineStr">
        <is>
          <t>sec=100_k=1_lr=0_rev20_policy</t>
        </is>
      </c>
      <c r="E25" s="25" t="inlineStr">
        <is>
          <t>constraint_count</t>
        </is>
      </c>
      <c r="F25" s="26" t="n">
        <v>10</v>
      </c>
      <c r="G25" s="26" t="n">
        <v>10</v>
      </c>
      <c r="H25" s="26" t="n">
        <v>0</v>
      </c>
      <c r="I25" s="25" t="b">
        <v>0</v>
      </c>
      <c r="J25" s="10" t="n">
        <v>739035</v>
      </c>
      <c r="K25" s="10" t="n">
        <v>0</v>
      </c>
      <c r="L25" s="10" t="n">
        <v>739035</v>
      </c>
      <c r="M25" s="10" t="n">
        <v>739035</v>
      </c>
      <c r="N25" s="10" t="n">
        <v>739035</v>
      </c>
      <c r="O25" s="10" t="n">
        <v>739035</v>
      </c>
    </row>
    <row r="26">
      <c r="B26" s="25" t="inlineStr">
        <is>
          <t>B7</t>
        </is>
      </c>
      <c r="C26" s="25" t="inlineStr">
        <is>
          <t>pp3_aurora</t>
        </is>
      </c>
      <c r="D26" s="25" t="inlineStr">
        <is>
          <t>sec=100_k=1_lr=0_rev20_policy</t>
        </is>
      </c>
      <c r="E26" s="25" t="inlineStr">
        <is>
          <t>proof_bytes</t>
        </is>
      </c>
      <c r="F26" s="26" t="n">
        <v>10</v>
      </c>
      <c r="G26" s="26" t="n">
        <v>10</v>
      </c>
      <c r="H26" s="26" t="n">
        <v>0</v>
      </c>
      <c r="I26" s="25" t="b">
        <v>0</v>
      </c>
      <c r="J26" s="10" t="n">
        <v>33572624</v>
      </c>
      <c r="K26" s="10" t="n">
        <v>1968.871351815552</v>
      </c>
      <c r="L26" s="10" t="n">
        <v>33572624</v>
      </c>
      <c r="M26" s="10" t="n">
        <v>33575660.8</v>
      </c>
      <c r="N26" s="10" t="n">
        <v>33569296</v>
      </c>
      <c r="O26" s="10" t="n">
        <v>33576784</v>
      </c>
    </row>
    <row r="27">
      <c r="B27" s="25" t="inlineStr">
        <is>
          <t>B7</t>
        </is>
      </c>
      <c r="C27" s="25" t="inlineStr">
        <is>
          <t>pp2_combined</t>
        </is>
      </c>
      <c r="D27" s="25" t="inlineStr">
        <is>
          <t>sec=100_k=2_lr=0_rev20</t>
        </is>
      </c>
      <c r="E27" s="25" t="inlineStr">
        <is>
          <t>indexer_ms</t>
        </is>
      </c>
      <c r="F27" s="26" t="n">
        <v>10</v>
      </c>
      <c r="G27" s="26" t="n">
        <v>10</v>
      </c>
      <c r="H27" s="26" t="n">
        <v>0</v>
      </c>
      <c r="I27" s="25" t="b">
        <v>0</v>
      </c>
      <c r="J27" s="10" t="n">
        <v>57108.41765409999</v>
      </c>
      <c r="K27" s="10" t="n">
        <v>870.0306306162321</v>
      </c>
      <c r="L27" s="10" t="n">
        <v>57128.740104</v>
      </c>
      <c r="M27" s="10" t="n">
        <v>58452.84479375</v>
      </c>
      <c r="N27" s="10" t="n">
        <v>55801.774791</v>
      </c>
      <c r="O27" s="10" t="n">
        <v>58722.975125</v>
      </c>
    </row>
    <row r="28">
      <c r="B28" s="25" t="inlineStr">
        <is>
          <t>B7</t>
        </is>
      </c>
      <c r="C28" s="25" t="inlineStr">
        <is>
          <t>pp2_combined</t>
        </is>
      </c>
      <c r="D28" s="25" t="inlineStr">
        <is>
          <t>sec=100_k=2_lr=0_rev20</t>
        </is>
      </c>
      <c r="E28" s="25" t="inlineStr">
        <is>
          <t>prove_ms</t>
        </is>
      </c>
      <c r="F28" s="26" t="n">
        <v>10</v>
      </c>
      <c r="G28" s="26" t="n">
        <v>10</v>
      </c>
      <c r="H28" s="26" t="n">
        <v>0</v>
      </c>
      <c r="I28" s="25" t="b">
        <v>0</v>
      </c>
      <c r="J28" s="10" t="n">
        <v>82973.95985419999</v>
      </c>
      <c r="K28" s="10" t="n">
        <v>1322.460234167547</v>
      </c>
      <c r="L28" s="10" t="n">
        <v>82916.6079795</v>
      </c>
      <c r="M28" s="10" t="n">
        <v>84877.61655840001</v>
      </c>
      <c r="N28" s="10" t="n">
        <v>81217.2185</v>
      </c>
      <c r="O28" s="10" t="n">
        <v>85038.91058400001</v>
      </c>
    </row>
    <row r="29">
      <c r="B29" s="25" t="inlineStr">
        <is>
          <t>B7</t>
        </is>
      </c>
      <c r="C29" s="25" t="inlineStr">
        <is>
          <t>pp2_combined</t>
        </is>
      </c>
      <c r="D29" s="25" t="inlineStr">
        <is>
          <t>sec=100_k=2_lr=0_rev20</t>
        </is>
      </c>
      <c r="E29" s="25" t="inlineStr">
        <is>
          <t>verify_ms</t>
        </is>
      </c>
      <c r="F29" s="26" t="n">
        <v>10</v>
      </c>
      <c r="G29" s="26" t="n">
        <v>10</v>
      </c>
      <c r="H29" s="26" t="n">
        <v>0</v>
      </c>
      <c r="I29" s="25" t="b">
        <v>0</v>
      </c>
      <c r="J29" s="10" t="n">
        <v>51845.4707707</v>
      </c>
      <c r="K29" s="10" t="n">
        <v>1003.278098985484</v>
      </c>
      <c r="L29" s="10" t="n">
        <v>51791.3559375</v>
      </c>
      <c r="M29" s="10" t="n">
        <v>53369.3658436</v>
      </c>
      <c r="N29" s="10" t="n">
        <v>50292.239291</v>
      </c>
      <c r="O29" s="10" t="n">
        <v>53579.446</v>
      </c>
    </row>
    <row r="30">
      <c r="B30" s="25" t="inlineStr">
        <is>
          <t>B7</t>
        </is>
      </c>
      <c r="C30" s="25" t="inlineStr">
        <is>
          <t>pp2_combined</t>
        </is>
      </c>
      <c r="D30" s="25" t="inlineStr">
        <is>
          <t>sec=100_k=2_lr=0_rev20</t>
        </is>
      </c>
      <c r="E30" s="25" t="inlineStr">
        <is>
          <t>constraint_count</t>
        </is>
      </c>
      <c r="F30" s="26" t="n">
        <v>10</v>
      </c>
      <c r="G30" s="26" t="n">
        <v>10</v>
      </c>
      <c r="H30" s="26" t="n">
        <v>0</v>
      </c>
      <c r="I30" s="25" t="b">
        <v>0</v>
      </c>
      <c r="J30" s="10" t="n">
        <v>983049</v>
      </c>
      <c r="K30" s="10" t="n">
        <v>0</v>
      </c>
      <c r="L30" s="10" t="n">
        <v>983049</v>
      </c>
      <c r="M30" s="10" t="n">
        <v>983049</v>
      </c>
      <c r="N30" s="10" t="n">
        <v>983049</v>
      </c>
      <c r="O30" s="10" t="n">
        <v>983049</v>
      </c>
    </row>
    <row r="31">
      <c r="B31" s="25" t="inlineStr">
        <is>
          <t>B7</t>
        </is>
      </c>
      <c r="C31" s="25" t="inlineStr">
        <is>
          <t>pp2_combined</t>
        </is>
      </c>
      <c r="D31" s="25" t="inlineStr">
        <is>
          <t>sec=100_k=2_lr=0_rev20</t>
        </is>
      </c>
      <c r="E31" s="25" t="inlineStr">
        <is>
          <t>proof_bytes</t>
        </is>
      </c>
      <c r="F31" s="26" t="n">
        <v>10</v>
      </c>
      <c r="G31" s="26" t="n">
        <v>10</v>
      </c>
      <c r="H31" s="26" t="n">
        <v>0</v>
      </c>
      <c r="I31" s="25" t="b">
        <v>0</v>
      </c>
      <c r="J31" s="10" t="n">
        <v>33574204.8</v>
      </c>
      <c r="K31" s="10" t="n">
        <v>2151.970854821227</v>
      </c>
      <c r="L31" s="10" t="n">
        <v>33574288</v>
      </c>
      <c r="M31" s="10" t="n">
        <v>33577324.8</v>
      </c>
      <c r="N31" s="10" t="n">
        <v>33571792</v>
      </c>
      <c r="O31" s="10" t="n">
        <v>33578448</v>
      </c>
    </row>
    <row r="32">
      <c r="B32" s="25" t="inlineStr">
        <is>
          <t>B7</t>
        </is>
      </c>
      <c r="C32" s="25" t="inlineStr">
        <is>
          <t>pp2_aurora</t>
        </is>
      </c>
      <c r="D32" s="25" t="inlineStr">
        <is>
          <t>sec=128_k=2_lr=0_rev20</t>
        </is>
      </c>
      <c r="E32" s="25" t="inlineStr">
        <is>
          <t>indexer_ms</t>
        </is>
      </c>
      <c r="F32" s="26" t="n">
        <v>10</v>
      </c>
      <c r="G32" s="26" t="n">
        <v>8</v>
      </c>
      <c r="H32" s="26" t="n">
        <v>2</v>
      </c>
      <c r="I32" s="25" t="b">
        <v>0</v>
      </c>
      <c r="J32" s="10" t="n">
        <v>58127.28088</v>
      </c>
      <c r="K32" s="10" t="n">
        <v>953.2134719664955</v>
      </c>
      <c r="L32" s="10" t="n">
        <v>58010.6024165</v>
      </c>
      <c r="M32" s="10" t="n">
        <v>59687.14872675</v>
      </c>
      <c r="N32" s="10" t="n">
        <v>56806.27525</v>
      </c>
      <c r="O32" s="10" t="n">
        <v>59868.713458</v>
      </c>
    </row>
    <row r="33">
      <c r="B33" s="25" t="inlineStr">
        <is>
          <t>B7</t>
        </is>
      </c>
      <c r="C33" s="25" t="inlineStr">
        <is>
          <t>pp2_aurora</t>
        </is>
      </c>
      <c r="D33" s="25" t="inlineStr">
        <is>
          <t>sec=128_k=2_lr=0_rev20</t>
        </is>
      </c>
      <c r="E33" s="25" t="inlineStr">
        <is>
          <t>prove_ms</t>
        </is>
      </c>
      <c r="F33" s="26" t="n">
        <v>10</v>
      </c>
      <c r="G33" s="26" t="n">
        <v>9</v>
      </c>
      <c r="H33" s="26" t="n">
        <v>1</v>
      </c>
      <c r="I33" s="25" t="b">
        <v>0</v>
      </c>
      <c r="J33" s="10" t="n">
        <v>84351.01445811109</v>
      </c>
      <c r="K33" s="10" t="n">
        <v>2769.709060382768</v>
      </c>
      <c r="L33" s="10" t="n">
        <v>83594.92937500001</v>
      </c>
      <c r="M33" s="10" t="n">
        <v>89477.4726416</v>
      </c>
      <c r="N33" s="10" t="n">
        <v>81700.76166600001</v>
      </c>
      <c r="O33" s="10" t="n">
        <v>90617.44070800001</v>
      </c>
    </row>
    <row r="34">
      <c r="B34" s="25" t="inlineStr">
        <is>
          <t>B7</t>
        </is>
      </c>
      <c r="C34" s="25" t="inlineStr">
        <is>
          <t>pp2_aurora</t>
        </is>
      </c>
      <c r="D34" s="25" t="inlineStr">
        <is>
          <t>sec=128_k=2_lr=0_rev20</t>
        </is>
      </c>
      <c r="E34" s="25" t="inlineStr">
        <is>
          <t>verify_ms</t>
        </is>
      </c>
      <c r="F34" s="26" t="n">
        <v>10</v>
      </c>
      <c r="G34" s="26" t="n">
        <v>9</v>
      </c>
      <c r="H34" s="26" t="n">
        <v>1</v>
      </c>
      <c r="I34" s="25" t="b">
        <v>0</v>
      </c>
      <c r="J34" s="10" t="n">
        <v>52351.83291211111</v>
      </c>
      <c r="K34" s="10" t="n">
        <v>1209.713087195758</v>
      </c>
      <c r="L34" s="10" t="n">
        <v>52776.616083</v>
      </c>
      <c r="M34" s="10" t="n">
        <v>53704.177934</v>
      </c>
      <c r="N34" s="10" t="n">
        <v>49929.60858299999</v>
      </c>
      <c r="O34" s="10" t="n">
        <v>53903.853584</v>
      </c>
    </row>
    <row r="35">
      <c r="B35" s="25" t="inlineStr">
        <is>
          <t>B7</t>
        </is>
      </c>
      <c r="C35" s="25" t="inlineStr">
        <is>
          <t>pp2_aurora</t>
        </is>
      </c>
      <c r="D35" s="25" t="inlineStr">
        <is>
          <t>sec=128_k=2_lr=0_rev20</t>
        </is>
      </c>
      <c r="E35" s="25" t="inlineStr">
        <is>
          <t>constraint_count</t>
        </is>
      </c>
      <c r="F35" s="26" t="n">
        <v>10</v>
      </c>
      <c r="G35" s="26" t="n">
        <v>10</v>
      </c>
      <c r="H35" s="26" t="n">
        <v>0</v>
      </c>
      <c r="I35" s="25" t="b">
        <v>0</v>
      </c>
      <c r="J35" s="10" t="n">
        <v>996523</v>
      </c>
      <c r="K35" s="10" t="n">
        <v>0</v>
      </c>
      <c r="L35" s="10" t="n">
        <v>996523</v>
      </c>
      <c r="M35" s="10" t="n">
        <v>996523</v>
      </c>
      <c r="N35" s="10" t="n">
        <v>996523</v>
      </c>
      <c r="O35" s="10" t="n">
        <v>996523</v>
      </c>
    </row>
    <row r="36">
      <c r="B36" s="25" t="inlineStr">
        <is>
          <t>B7</t>
        </is>
      </c>
      <c r="C36" s="25" t="inlineStr">
        <is>
          <t>pp2_aurora</t>
        </is>
      </c>
      <c r="D36" s="25" t="inlineStr">
        <is>
          <t>sec=128_k=2_lr=0_rev20</t>
        </is>
      </c>
      <c r="E36" s="25" t="inlineStr">
        <is>
          <t>proof_bytes</t>
        </is>
      </c>
      <c r="F36" s="26" t="n">
        <v>10</v>
      </c>
      <c r="G36" s="26" t="n">
        <v>9</v>
      </c>
      <c r="H36" s="26" t="n">
        <v>1</v>
      </c>
      <c r="I36" s="25" t="b">
        <v>0</v>
      </c>
      <c r="J36" s="10" t="n">
        <v>33571976.88888889</v>
      </c>
      <c r="K36" s="10" t="n">
        <v>2794.820465092304</v>
      </c>
      <c r="L36" s="10" t="n">
        <v>33570128</v>
      </c>
      <c r="M36" s="10" t="n">
        <v>33576784</v>
      </c>
      <c r="N36" s="10" t="n">
        <v>33569296</v>
      </c>
      <c r="O36" s="10" t="n">
        <v>33578448</v>
      </c>
    </row>
    <row r="37">
      <c r="B37" s="25" t="inlineStr">
        <is>
          <t>B7</t>
        </is>
      </c>
      <c r="C37" s="25" t="inlineStr">
        <is>
          <t>pp3_aurora</t>
        </is>
      </c>
      <c r="D37" s="25" t="inlineStr">
        <is>
          <t>sec=128_k=1_lr=0_rev20_policy</t>
        </is>
      </c>
      <c r="E37" s="25" t="inlineStr">
        <is>
          <t>indexer_ms</t>
        </is>
      </c>
      <c r="F37" s="26" t="n">
        <v>10</v>
      </c>
      <c r="G37" s="26" t="n">
        <v>9</v>
      </c>
      <c r="H37" s="26" t="n">
        <v>1</v>
      </c>
      <c r="I37" s="25" t="b">
        <v>0</v>
      </c>
      <c r="J37" s="10" t="n">
        <v>27915.03022211111</v>
      </c>
      <c r="K37" s="10" t="n">
        <v>449.2383411298455</v>
      </c>
      <c r="L37" s="10" t="n">
        <v>27763.410625</v>
      </c>
      <c r="M37" s="10" t="n">
        <v>28633.8386496</v>
      </c>
      <c r="N37" s="10" t="n">
        <v>27159.776208</v>
      </c>
      <c r="O37" s="10" t="n">
        <v>28765.824916</v>
      </c>
    </row>
    <row r="38">
      <c r="B38" s="25" t="inlineStr">
        <is>
          <t>B7</t>
        </is>
      </c>
      <c r="C38" s="25" t="inlineStr">
        <is>
          <t>pp3_aurora</t>
        </is>
      </c>
      <c r="D38" s="25" t="inlineStr">
        <is>
          <t>sec=128_k=1_lr=0_rev20_policy</t>
        </is>
      </c>
      <c r="E38" s="25" t="inlineStr">
        <is>
          <t>prove_ms</t>
        </is>
      </c>
      <c r="F38" s="26" t="n">
        <v>10</v>
      </c>
      <c r="G38" s="26" t="n">
        <v>9</v>
      </c>
      <c r="H38" s="26" t="n">
        <v>1</v>
      </c>
      <c r="I38" s="25" t="b">
        <v>0</v>
      </c>
      <c r="J38" s="10" t="n">
        <v>66633.04010177778</v>
      </c>
      <c r="K38" s="10" t="n">
        <v>560.4761448774511</v>
      </c>
      <c r="L38" s="10" t="n">
        <v>66717.980542</v>
      </c>
      <c r="M38" s="10" t="n">
        <v>67223.6935582</v>
      </c>
      <c r="N38" s="10" t="n">
        <v>65447.180166</v>
      </c>
      <c r="O38" s="10" t="n">
        <v>67259.661375</v>
      </c>
    </row>
    <row r="39">
      <c r="B39" s="25" t="inlineStr">
        <is>
          <t>B7</t>
        </is>
      </c>
      <c r="C39" s="25" t="inlineStr">
        <is>
          <t>pp3_aurora</t>
        </is>
      </c>
      <c r="D39" s="25" t="inlineStr">
        <is>
          <t>sec=128_k=1_lr=0_rev20_policy</t>
        </is>
      </c>
      <c r="E39" s="25" t="inlineStr">
        <is>
          <t>verify_ms</t>
        </is>
      </c>
      <c r="F39" s="26" t="n">
        <v>10</v>
      </c>
      <c r="G39" s="26" t="n">
        <v>10</v>
      </c>
      <c r="H39" s="26" t="n">
        <v>0</v>
      </c>
      <c r="I39" s="25" t="b">
        <v>0</v>
      </c>
      <c r="J39" s="10" t="n">
        <v>38189.0098167</v>
      </c>
      <c r="K39" s="10" t="n">
        <v>668.645898211577</v>
      </c>
      <c r="L39" s="10" t="n">
        <v>38060.5302915</v>
      </c>
      <c r="M39" s="10" t="n">
        <v>39246.17975205</v>
      </c>
      <c r="N39" s="10" t="n">
        <v>37266.02562499999</v>
      </c>
      <c r="O39" s="10" t="n">
        <v>39289.810083</v>
      </c>
    </row>
    <row r="40">
      <c r="B40" s="25" t="inlineStr">
        <is>
          <t>B7</t>
        </is>
      </c>
      <c r="C40" s="25" t="inlineStr">
        <is>
          <t>pp3_aurora</t>
        </is>
      </c>
      <c r="D40" s="25" t="inlineStr">
        <is>
          <t>sec=128_k=1_lr=0_rev20_policy</t>
        </is>
      </c>
      <c r="E40" s="25" t="inlineStr">
        <is>
          <t>constraint_count</t>
        </is>
      </c>
      <c r="F40" s="26" t="n">
        <v>10</v>
      </c>
      <c r="G40" s="26" t="n">
        <v>10</v>
      </c>
      <c r="H40" s="26" t="n">
        <v>0</v>
      </c>
      <c r="I40" s="25" t="b">
        <v>0</v>
      </c>
      <c r="J40" s="10" t="n">
        <v>749392</v>
      </c>
      <c r="K40" s="10" t="n">
        <v>0</v>
      </c>
      <c r="L40" s="10" t="n">
        <v>749392</v>
      </c>
      <c r="M40" s="10" t="n">
        <v>749392</v>
      </c>
      <c r="N40" s="10" t="n">
        <v>749392</v>
      </c>
      <c r="O40" s="10" t="n">
        <v>749392</v>
      </c>
    </row>
    <row r="41">
      <c r="B41" s="25" t="inlineStr">
        <is>
          <t>B7</t>
        </is>
      </c>
      <c r="C41" s="25" t="inlineStr">
        <is>
          <t>pp3_aurora</t>
        </is>
      </c>
      <c r="D41" s="25" t="inlineStr">
        <is>
          <t>sec=128_k=1_lr=0_rev20_policy</t>
        </is>
      </c>
      <c r="E41" s="25" t="inlineStr">
        <is>
          <t>proof_bytes</t>
        </is>
      </c>
      <c r="F41" s="26" t="n">
        <v>10</v>
      </c>
      <c r="G41" s="26" t="n">
        <v>9</v>
      </c>
      <c r="H41" s="26" t="n">
        <v>1</v>
      </c>
      <c r="I41" s="25" t="b">
        <v>0</v>
      </c>
      <c r="J41" s="10" t="n">
        <v>33572346.66666666</v>
      </c>
      <c r="K41" s="10" t="n">
        <v>1664</v>
      </c>
      <c r="L41" s="10" t="n">
        <v>33571792</v>
      </c>
      <c r="M41" s="10" t="n">
        <v>33574953.6</v>
      </c>
      <c r="N41" s="10" t="n">
        <v>33570128</v>
      </c>
      <c r="O41" s="10" t="n">
        <v>33575952</v>
      </c>
    </row>
    <row r="42">
      <c r="B42" s="25" t="inlineStr">
        <is>
          <t>B7</t>
        </is>
      </c>
      <c r="C42" s="25" t="inlineStr">
        <is>
          <t>pp2_combined</t>
        </is>
      </c>
      <c r="D42" s="25" t="inlineStr">
        <is>
          <t>sec=128_k=2_lr=0_rev20</t>
        </is>
      </c>
      <c r="E42" s="25" t="inlineStr">
        <is>
          <t>indexer_ms</t>
        </is>
      </c>
      <c r="F42" s="26" t="n">
        <v>10</v>
      </c>
      <c r="G42" s="26" t="n">
        <v>10</v>
      </c>
      <c r="H42" s="26" t="n">
        <v>0</v>
      </c>
      <c r="I42" s="25" t="b">
        <v>0</v>
      </c>
      <c r="J42" s="10" t="n">
        <v>59614.3073417</v>
      </c>
      <c r="K42" s="10" t="n">
        <v>1014.556928299571</v>
      </c>
      <c r="L42" s="10" t="n">
        <v>60024.79229149999</v>
      </c>
      <c r="M42" s="10" t="n">
        <v>60565.1957856</v>
      </c>
      <c r="N42" s="10" t="n">
        <v>57728.164584</v>
      </c>
      <c r="O42" s="10" t="n">
        <v>60668.641917</v>
      </c>
    </row>
    <row r="43">
      <c r="B43" s="25" t="inlineStr">
        <is>
          <t>B7</t>
        </is>
      </c>
      <c r="C43" s="25" t="inlineStr">
        <is>
          <t>pp2_combined</t>
        </is>
      </c>
      <c r="D43" s="25" t="inlineStr">
        <is>
          <t>sec=128_k=2_lr=0_rev20</t>
        </is>
      </c>
      <c r="E43" s="25" t="inlineStr">
        <is>
          <t>prove_ms</t>
        </is>
      </c>
      <c r="F43" s="26" t="n">
        <v>10</v>
      </c>
      <c r="G43" s="26" t="n">
        <v>10</v>
      </c>
      <c r="H43" s="26" t="n">
        <v>0</v>
      </c>
      <c r="I43" s="25" t="b">
        <v>0</v>
      </c>
      <c r="J43" s="10" t="n">
        <v>87248.26141250001</v>
      </c>
      <c r="K43" s="10" t="n">
        <v>1772.16100075548</v>
      </c>
      <c r="L43" s="10" t="n">
        <v>87320.938417</v>
      </c>
      <c r="M43" s="10" t="n">
        <v>89746.12270815</v>
      </c>
      <c r="N43" s="10" t="n">
        <v>84352.9115</v>
      </c>
      <c r="O43" s="10" t="n">
        <v>89772.007083</v>
      </c>
    </row>
    <row r="44">
      <c r="B44" s="25" t="inlineStr">
        <is>
          <t>B7</t>
        </is>
      </c>
      <c r="C44" s="25" t="inlineStr">
        <is>
          <t>pp2_combined</t>
        </is>
      </c>
      <c r="D44" s="25" t="inlineStr">
        <is>
          <t>sec=128_k=2_lr=0_rev20</t>
        </is>
      </c>
      <c r="E44" s="25" t="inlineStr">
        <is>
          <t>verify_ms</t>
        </is>
      </c>
      <c r="F44" s="26" t="n">
        <v>10</v>
      </c>
      <c r="G44" s="26" t="n">
        <v>9</v>
      </c>
      <c r="H44" s="26" t="n">
        <v>1</v>
      </c>
      <c r="I44" s="25" t="b">
        <v>0</v>
      </c>
      <c r="J44" s="10" t="n">
        <v>54338.45144922222</v>
      </c>
      <c r="K44" s="10" t="n">
        <v>722.5739785597467</v>
      </c>
      <c r="L44" s="10" t="n">
        <v>54350.6725</v>
      </c>
      <c r="M44" s="10" t="n">
        <v>55255.87878340001</v>
      </c>
      <c r="N44" s="10" t="n">
        <v>52739.163625</v>
      </c>
      <c r="O44" s="10" t="n">
        <v>55337.65441700001</v>
      </c>
    </row>
    <row r="45">
      <c r="B45" s="25" t="inlineStr">
        <is>
          <t>B7</t>
        </is>
      </c>
      <c r="C45" s="25" t="inlineStr">
        <is>
          <t>pp2_combined</t>
        </is>
      </c>
      <c r="D45" s="25" t="inlineStr">
        <is>
          <t>sec=128_k=2_lr=0_rev20</t>
        </is>
      </c>
      <c r="E45" s="25" t="inlineStr">
        <is>
          <t>constraint_count</t>
        </is>
      </c>
      <c r="F45" s="26" t="n">
        <v>10</v>
      </c>
      <c r="G45" s="26" t="n">
        <v>10</v>
      </c>
      <c r="H45" s="26" t="n">
        <v>0</v>
      </c>
      <c r="I45" s="25" t="b">
        <v>0</v>
      </c>
      <c r="J45" s="10" t="n">
        <v>996821</v>
      </c>
      <c r="K45" s="10" t="n">
        <v>0</v>
      </c>
      <c r="L45" s="10" t="n">
        <v>996821</v>
      </c>
      <c r="M45" s="10" t="n">
        <v>996821</v>
      </c>
      <c r="N45" s="10" t="n">
        <v>996821</v>
      </c>
      <c r="O45" s="10" t="n">
        <v>996821</v>
      </c>
    </row>
    <row r="46">
      <c r="B46" s="25" t="inlineStr">
        <is>
          <t>B7</t>
        </is>
      </c>
      <c r="C46" s="25" t="inlineStr">
        <is>
          <t>pp2_combined</t>
        </is>
      </c>
      <c r="D46" s="25" t="inlineStr">
        <is>
          <t>sec=128_k=2_lr=0_rev20</t>
        </is>
      </c>
      <c r="E46" s="25" t="inlineStr">
        <is>
          <t>proof_bytes</t>
        </is>
      </c>
      <c r="F46" s="26" t="n">
        <v>10</v>
      </c>
      <c r="G46" s="26" t="n">
        <v>10</v>
      </c>
      <c r="H46" s="26" t="n">
        <v>0</v>
      </c>
      <c r="I46" s="25" t="b">
        <v>0</v>
      </c>
      <c r="J46" s="10" t="n">
        <v>33574204.8</v>
      </c>
      <c r="K46" s="10" t="n">
        <v>2940.387348632829</v>
      </c>
      <c r="L46" s="10" t="n">
        <v>33573872</v>
      </c>
      <c r="M46" s="10" t="n">
        <v>33578156.8</v>
      </c>
      <c r="N46" s="10" t="n">
        <v>33570128</v>
      </c>
      <c r="O46" s="10" t="n">
        <v>33579280</v>
      </c>
    </row>
    <row r="47">
      <c r="B47" s="25" t="inlineStr">
        <is>
          <t>B5</t>
        </is>
      </c>
      <c r="C47" s="25" t="inlineStr">
        <is>
          <t>full_credential</t>
        </is>
      </c>
      <c r="D47" s="25" t="inlineStr">
        <is>
          <t>full_k=2_m=64_rev20</t>
        </is>
      </c>
      <c r="E47" s="25" t="inlineStr">
        <is>
          <t>prove_ms</t>
        </is>
      </c>
      <c r="F47" s="26" t="n">
        <v>10</v>
      </c>
      <c r="G47" s="26" t="n">
        <v>7</v>
      </c>
      <c r="H47" s="26" t="n">
        <v>3</v>
      </c>
      <c r="I47" s="25" t="b">
        <v>0</v>
      </c>
      <c r="J47" s="10" t="n">
        <v>86838.470137</v>
      </c>
      <c r="K47" s="10" t="n">
        <v>131.2402532317431</v>
      </c>
      <c r="L47" s="10" t="n">
        <v>86880.8135</v>
      </c>
      <c r="M47" s="10" t="n">
        <v>86972.29195</v>
      </c>
      <c r="N47" s="10" t="n">
        <v>86563.28575000001</v>
      </c>
      <c r="O47" s="10" t="n">
        <v>86996.746</v>
      </c>
    </row>
    <row r="48">
      <c r="B48" s="25" t="inlineStr">
        <is>
          <t>B5</t>
        </is>
      </c>
      <c r="C48" s="25" t="inlineStr">
        <is>
          <t>full_credential</t>
        </is>
      </c>
      <c r="D48" s="25" t="inlineStr">
        <is>
          <t>full_k=2_m=64_rev20</t>
        </is>
      </c>
      <c r="E48" s="25" t="inlineStr">
        <is>
          <t>verify_ms</t>
        </is>
      </c>
      <c r="F48" s="26" t="n">
        <v>10</v>
      </c>
      <c r="G48" s="26" t="n">
        <v>6</v>
      </c>
      <c r="H48" s="26" t="n">
        <v>4</v>
      </c>
      <c r="I48" s="25" t="b">
        <v>0</v>
      </c>
      <c r="J48" s="10" t="n">
        <v>54304.22015983334</v>
      </c>
      <c r="K48" s="10" t="n">
        <v>85.62086218255139</v>
      </c>
      <c r="L48" s="10" t="n">
        <v>54264.732042</v>
      </c>
      <c r="M48" s="10" t="n">
        <v>54422.9664685</v>
      </c>
      <c r="N48" s="10" t="n">
        <v>54221.58979200001</v>
      </c>
      <c r="O48" s="10" t="n">
        <v>54424.805708</v>
      </c>
    </row>
    <row r="49">
      <c r="B49" s="25" t="inlineStr">
        <is>
          <t>B5</t>
        </is>
      </c>
      <c r="C49" s="25" t="inlineStr">
        <is>
          <t>full_credential</t>
        </is>
      </c>
      <c r="D49" s="25" t="inlineStr">
        <is>
          <t>full_k=2_m=64_rev20</t>
        </is>
      </c>
      <c r="E49" s="25" t="inlineStr">
        <is>
          <t>proof_bytes</t>
        </is>
      </c>
      <c r="F49" s="26" t="n">
        <v>10</v>
      </c>
      <c r="G49" s="26" t="n">
        <v>9</v>
      </c>
      <c r="H49" s="26" t="n">
        <v>1</v>
      </c>
      <c r="I49" s="25" t="b">
        <v>0</v>
      </c>
      <c r="J49" s="10" t="n">
        <v>33571976.88888889</v>
      </c>
      <c r="K49" s="10" t="n">
        <v>1557.90146917394</v>
      </c>
      <c r="L49" s="10" t="n">
        <v>33571792</v>
      </c>
      <c r="M49" s="10" t="n">
        <v>33573955.2</v>
      </c>
      <c r="N49" s="10" t="n">
        <v>33569296</v>
      </c>
      <c r="O49" s="10" t="n">
        <v>33574288</v>
      </c>
    </row>
    <row r="50">
      <c r="B50" s="25" t="inlineStr">
        <is>
          <t>B5</t>
        </is>
      </c>
      <c r="C50" s="25" t="inlineStr">
        <is>
          <t>full_credential</t>
        </is>
      </c>
      <c r="D50" s="25" t="inlineStr">
        <is>
          <t>full_k=2_m=64_rev20</t>
        </is>
      </c>
      <c r="E50" s="25" t="inlineStr">
        <is>
          <t>constraint_count</t>
        </is>
      </c>
      <c r="F50" s="26" t="n">
        <v>10</v>
      </c>
      <c r="G50" s="26" t="n">
        <v>10</v>
      </c>
      <c r="H50" s="26" t="n">
        <v>0</v>
      </c>
      <c r="I50" s="25" t="b">
        <v>0</v>
      </c>
      <c r="J50" s="10" t="n">
        <v>996523</v>
      </c>
      <c r="K50" s="10" t="n">
        <v>0</v>
      </c>
      <c r="L50" s="10" t="n">
        <v>996523</v>
      </c>
      <c r="M50" s="10" t="n">
        <v>996523</v>
      </c>
      <c r="N50" s="10" t="n">
        <v>996523</v>
      </c>
      <c r="O50" s="10" t="n">
        <v>996523</v>
      </c>
    </row>
    <row r="51">
      <c r="B51" s="25" t="inlineStr">
        <is>
          <t>B5</t>
        </is>
      </c>
      <c r="C51" s="25" t="inlineStr">
        <is>
          <t>loquat_only_aurora</t>
        </is>
      </c>
      <c r="D51" s="25" t="inlineStr">
        <is>
          <t>loquat_sig_verify</t>
        </is>
      </c>
      <c r="E51" s="25" t="inlineStr">
        <is>
          <t>prove_ms</t>
        </is>
      </c>
      <c r="F51" s="26" t="n">
        <v>10</v>
      </c>
      <c r="G51" s="26" t="n">
        <v>10</v>
      </c>
      <c r="H51" s="26" t="n">
        <v>0</v>
      </c>
      <c r="I51" s="25" t="b">
        <v>0</v>
      </c>
      <c r="J51" s="10" t="n">
        <v>14164.6164543</v>
      </c>
      <c r="K51" s="10" t="n">
        <v>15.76796495918634</v>
      </c>
      <c r="L51" s="10" t="n">
        <v>14157.3746455</v>
      </c>
      <c r="M51" s="10" t="n">
        <v>14184.8374859</v>
      </c>
      <c r="N51" s="10" t="n">
        <v>14143.969125</v>
      </c>
      <c r="O51" s="10" t="n">
        <v>14185.375667</v>
      </c>
    </row>
    <row r="52">
      <c r="B52" s="25" t="inlineStr">
        <is>
          <t>B5</t>
        </is>
      </c>
      <c r="C52" s="25" t="inlineStr">
        <is>
          <t>loquat_only_aurora</t>
        </is>
      </c>
      <c r="D52" s="25" t="inlineStr">
        <is>
          <t>loquat_sig_verify</t>
        </is>
      </c>
      <c r="E52" s="25" t="inlineStr">
        <is>
          <t>verify_ms</t>
        </is>
      </c>
      <c r="F52" s="26" t="n">
        <v>10</v>
      </c>
      <c r="G52" s="26" t="n">
        <v>10</v>
      </c>
      <c r="H52" s="26" t="n">
        <v>0</v>
      </c>
      <c r="I52" s="25" t="b">
        <v>0</v>
      </c>
      <c r="J52" s="10" t="n">
        <v>6695.874487700001</v>
      </c>
      <c r="K52" s="10" t="n">
        <v>14.71388004847412</v>
      </c>
      <c r="L52" s="10" t="n">
        <v>6697.252667</v>
      </c>
      <c r="M52" s="10" t="n">
        <v>6714.7952295</v>
      </c>
      <c r="N52" s="10" t="n">
        <v>6671.011917</v>
      </c>
      <c r="O52" s="10" t="n">
        <v>6716.465292</v>
      </c>
    </row>
    <row r="53">
      <c r="B53" s="25" t="inlineStr">
        <is>
          <t>B5</t>
        </is>
      </c>
      <c r="C53" s="25" t="inlineStr">
        <is>
          <t>loquat_only_aurora</t>
        </is>
      </c>
      <c r="D53" s="25" t="inlineStr">
        <is>
          <t>loquat_sig_verify</t>
        </is>
      </c>
      <c r="E53" s="25" t="inlineStr">
        <is>
          <t>proof_bytes</t>
        </is>
      </c>
      <c r="F53" s="26" t="n">
        <v>10</v>
      </c>
      <c r="G53" s="26" t="n">
        <v>10</v>
      </c>
      <c r="H53" s="26" t="n">
        <v>0</v>
      </c>
      <c r="I53" s="25" t="b">
        <v>0</v>
      </c>
      <c r="J53" s="10" t="n">
        <v>8404320</v>
      </c>
      <c r="K53" s="10" t="n">
        <v>0</v>
      </c>
      <c r="L53" s="10" t="n">
        <v>8404320</v>
      </c>
      <c r="M53" s="10" t="n">
        <v>8404320</v>
      </c>
      <c r="N53" s="10" t="n">
        <v>8404320</v>
      </c>
      <c r="O53" s="10" t="n">
        <v>8404320</v>
      </c>
    </row>
    <row r="54">
      <c r="B54" s="25" t="inlineStr">
        <is>
          <t>B3</t>
        </is>
      </c>
      <c r="C54" s="25" t="inlineStr">
        <is>
          <t>constraints_only</t>
        </is>
      </c>
      <c r="D54" s="25" t="inlineStr">
        <is>
          <t>k=1_rev10_pol=none</t>
        </is>
      </c>
      <c r="E54" s="25" t="inlineStr">
        <is>
          <t>constraint_count</t>
        </is>
      </c>
      <c r="F54" s="26" t="n">
        <v>1</v>
      </c>
      <c r="G54" s="26" t="n">
        <v>1</v>
      </c>
      <c r="H54" s="26" t="n">
        <v>0</v>
      </c>
      <c r="I54" s="25" t="b">
        <v>0</v>
      </c>
      <c r="J54" s="10" t="n">
        <v>745974</v>
      </c>
      <c r="K54" s="10" t="n">
        <v>0</v>
      </c>
      <c r="L54" s="10" t="n">
        <v>745974</v>
      </c>
      <c r="M54" s="10" t="n">
        <v>745974</v>
      </c>
      <c r="N54" s="10" t="n">
        <v>745974</v>
      </c>
      <c r="O54" s="10" t="n">
        <v>745974</v>
      </c>
    </row>
    <row r="55">
      <c r="B55" s="25" t="inlineStr">
        <is>
          <t>B3</t>
        </is>
      </c>
      <c r="C55" s="25" t="inlineStr">
        <is>
          <t>constraints_only</t>
        </is>
      </c>
      <c r="D55" s="25" t="inlineStr">
        <is>
          <t>k=1_rev10_pol=gpa</t>
        </is>
      </c>
      <c r="E55" s="25" t="inlineStr">
        <is>
          <t>constraint_count</t>
        </is>
      </c>
      <c r="F55" s="26" t="n">
        <v>1</v>
      </c>
      <c r="G55" s="26" t="n">
        <v>1</v>
      </c>
      <c r="H55" s="26" t="n">
        <v>0</v>
      </c>
      <c r="I55" s="25" t="b">
        <v>0</v>
      </c>
      <c r="J55" s="10" t="n">
        <v>746265</v>
      </c>
      <c r="K55" s="10" t="n">
        <v>0</v>
      </c>
      <c r="L55" s="10" t="n">
        <v>746265</v>
      </c>
      <c r="M55" s="10" t="n">
        <v>746265</v>
      </c>
      <c r="N55" s="10" t="n">
        <v>746265</v>
      </c>
      <c r="O55" s="10" t="n">
        <v>746265</v>
      </c>
    </row>
    <row r="56">
      <c r="B56" s="25" t="inlineStr">
        <is>
          <t>B3</t>
        </is>
      </c>
      <c r="C56" s="25" t="inlineStr">
        <is>
          <t>constraints_only</t>
        </is>
      </c>
      <c r="D56" s="25" t="inlineStr">
        <is>
          <t>k=1_rev10_pol=gpa_degree</t>
        </is>
      </c>
      <c r="E56" s="25" t="inlineStr">
        <is>
          <t>constraint_count</t>
        </is>
      </c>
      <c r="F56" s="26" t="n">
        <v>1</v>
      </c>
      <c r="G56" s="26" t="n">
        <v>1</v>
      </c>
      <c r="H56" s="26" t="n">
        <v>0</v>
      </c>
      <c r="I56" s="25" t="b">
        <v>0</v>
      </c>
      <c r="J56" s="10" t="n">
        <v>746272</v>
      </c>
      <c r="K56" s="10" t="n">
        <v>0</v>
      </c>
      <c r="L56" s="10" t="n">
        <v>746272</v>
      </c>
      <c r="M56" s="10" t="n">
        <v>746272</v>
      </c>
      <c r="N56" s="10" t="n">
        <v>746272</v>
      </c>
      <c r="O56" s="10" t="n">
        <v>746272</v>
      </c>
    </row>
    <row r="57">
      <c r="B57" s="25" t="inlineStr">
        <is>
          <t>B3</t>
        </is>
      </c>
      <c r="C57" s="25" t="inlineStr">
        <is>
          <t>constraints_only</t>
        </is>
      </c>
      <c r="D57" s="25" t="inlineStr">
        <is>
          <t>k=1_rev20_pol=none</t>
        </is>
      </c>
      <c r="E57" s="25" t="inlineStr">
        <is>
          <t>constraint_count</t>
        </is>
      </c>
      <c r="F57" s="26" t="n">
        <v>1</v>
      </c>
      <c r="G57" s="26" t="n">
        <v>1</v>
      </c>
      <c r="H57" s="26" t="n">
        <v>0</v>
      </c>
      <c r="I57" s="25" t="b">
        <v>0</v>
      </c>
      <c r="J57" s="10" t="n">
        <v>749094</v>
      </c>
      <c r="K57" s="10" t="n">
        <v>0</v>
      </c>
      <c r="L57" s="10" t="n">
        <v>749094</v>
      </c>
      <c r="M57" s="10" t="n">
        <v>749094</v>
      </c>
      <c r="N57" s="10" t="n">
        <v>749094</v>
      </c>
      <c r="O57" s="10" t="n">
        <v>749094</v>
      </c>
    </row>
    <row r="58">
      <c r="B58" s="25" t="inlineStr">
        <is>
          <t>B3</t>
        </is>
      </c>
      <c r="C58" s="25" t="inlineStr">
        <is>
          <t>constraints_only</t>
        </is>
      </c>
      <c r="D58" s="25" t="inlineStr">
        <is>
          <t>k=1_rev20_pol=gpa</t>
        </is>
      </c>
      <c r="E58" s="25" t="inlineStr">
        <is>
          <t>constraint_count</t>
        </is>
      </c>
      <c r="F58" s="26" t="n">
        <v>1</v>
      </c>
      <c r="G58" s="26" t="n">
        <v>1</v>
      </c>
      <c r="H58" s="26" t="n">
        <v>0</v>
      </c>
      <c r="I58" s="25" t="b">
        <v>0</v>
      </c>
      <c r="J58" s="10" t="n">
        <v>749385</v>
      </c>
      <c r="K58" s="10" t="n">
        <v>0</v>
      </c>
      <c r="L58" s="10" t="n">
        <v>749385</v>
      </c>
      <c r="M58" s="10" t="n">
        <v>749385</v>
      </c>
      <c r="N58" s="10" t="n">
        <v>749385</v>
      </c>
      <c r="O58" s="10" t="n">
        <v>749385</v>
      </c>
    </row>
    <row r="59">
      <c r="B59" s="25" t="inlineStr">
        <is>
          <t>B3</t>
        </is>
      </c>
      <c r="C59" s="25" t="inlineStr">
        <is>
          <t>constraints_only</t>
        </is>
      </c>
      <c r="D59" s="25" t="inlineStr">
        <is>
          <t>k=1_rev20_pol=gpa_degree</t>
        </is>
      </c>
      <c r="E59" s="25" t="inlineStr">
        <is>
          <t>constraint_count</t>
        </is>
      </c>
      <c r="F59" s="26" t="n">
        <v>1</v>
      </c>
      <c r="G59" s="26" t="n">
        <v>1</v>
      </c>
      <c r="H59" s="26" t="n">
        <v>0</v>
      </c>
      <c r="I59" s="25" t="b">
        <v>0</v>
      </c>
      <c r="J59" s="10" t="n">
        <v>749392</v>
      </c>
      <c r="K59" s="10" t="n">
        <v>0</v>
      </c>
      <c r="L59" s="10" t="n">
        <v>749392</v>
      </c>
      <c r="M59" s="10" t="n">
        <v>749392</v>
      </c>
      <c r="N59" s="10" t="n">
        <v>749392</v>
      </c>
      <c r="O59" s="10" t="n">
        <v>749392</v>
      </c>
    </row>
    <row r="60">
      <c r="B60" s="25" t="inlineStr">
        <is>
          <t>B3</t>
        </is>
      </c>
      <c r="C60" s="25" t="inlineStr">
        <is>
          <t>constraints_only</t>
        </is>
      </c>
      <c r="D60" s="25" t="inlineStr">
        <is>
          <t>k=2_rev10_pol=none</t>
        </is>
      </c>
      <c r="E60" s="25" t="inlineStr">
        <is>
          <t>constraint_count</t>
        </is>
      </c>
      <c r="F60" s="26" t="n">
        <v>1</v>
      </c>
      <c r="G60" s="26" t="n">
        <v>1</v>
      </c>
      <c r="H60" s="26" t="n">
        <v>0</v>
      </c>
      <c r="I60" s="25" t="b">
        <v>0</v>
      </c>
      <c r="J60" s="10" t="n">
        <v>993403</v>
      </c>
      <c r="K60" s="10" t="n">
        <v>0</v>
      </c>
      <c r="L60" s="10" t="n">
        <v>993403</v>
      </c>
      <c r="M60" s="10" t="n">
        <v>993403</v>
      </c>
      <c r="N60" s="10" t="n">
        <v>993403</v>
      </c>
      <c r="O60" s="10" t="n">
        <v>993403</v>
      </c>
    </row>
    <row r="61">
      <c r="B61" s="25" t="inlineStr">
        <is>
          <t>B3</t>
        </is>
      </c>
      <c r="C61" s="25" t="inlineStr">
        <is>
          <t>constraints_only</t>
        </is>
      </c>
      <c r="D61" s="25" t="inlineStr">
        <is>
          <t>k=2_rev10_pol=gpa</t>
        </is>
      </c>
      <c r="E61" s="25" t="inlineStr">
        <is>
          <t>constraint_count</t>
        </is>
      </c>
      <c r="F61" s="26" t="n">
        <v>1</v>
      </c>
      <c r="G61" s="26" t="n">
        <v>1</v>
      </c>
      <c r="H61" s="26" t="n">
        <v>0</v>
      </c>
      <c r="I61" s="25" t="b">
        <v>0</v>
      </c>
      <c r="J61" s="10" t="n">
        <v>993694</v>
      </c>
      <c r="K61" s="10" t="n">
        <v>0</v>
      </c>
      <c r="L61" s="10" t="n">
        <v>993694</v>
      </c>
      <c r="M61" s="10" t="n">
        <v>993694</v>
      </c>
      <c r="N61" s="10" t="n">
        <v>993694</v>
      </c>
      <c r="O61" s="10" t="n">
        <v>993694</v>
      </c>
    </row>
    <row r="62">
      <c r="B62" s="25" t="inlineStr">
        <is>
          <t>B3</t>
        </is>
      </c>
      <c r="C62" s="25" t="inlineStr">
        <is>
          <t>constraints_only</t>
        </is>
      </c>
      <c r="D62" s="25" t="inlineStr">
        <is>
          <t>k=2_rev10_pol=gpa_degree</t>
        </is>
      </c>
      <c r="E62" s="25" t="inlineStr">
        <is>
          <t>constraint_count</t>
        </is>
      </c>
      <c r="F62" s="26" t="n">
        <v>1</v>
      </c>
      <c r="G62" s="26" t="n">
        <v>1</v>
      </c>
      <c r="H62" s="26" t="n">
        <v>0</v>
      </c>
      <c r="I62" s="25" t="b">
        <v>0</v>
      </c>
      <c r="J62" s="10" t="n">
        <v>993701</v>
      </c>
      <c r="K62" s="10" t="n">
        <v>0</v>
      </c>
      <c r="L62" s="10" t="n">
        <v>993701</v>
      </c>
      <c r="M62" s="10" t="n">
        <v>993701</v>
      </c>
      <c r="N62" s="10" t="n">
        <v>993701</v>
      </c>
      <c r="O62" s="10" t="n">
        <v>993701</v>
      </c>
    </row>
    <row r="63">
      <c r="B63" s="25" t="inlineStr">
        <is>
          <t>B3</t>
        </is>
      </c>
      <c r="C63" s="25" t="inlineStr">
        <is>
          <t>constraints_only</t>
        </is>
      </c>
      <c r="D63" s="25" t="inlineStr">
        <is>
          <t>k=2_rev20_pol=none</t>
        </is>
      </c>
      <c r="E63" s="25" t="inlineStr">
        <is>
          <t>constraint_count</t>
        </is>
      </c>
      <c r="F63" s="26" t="n">
        <v>1</v>
      </c>
      <c r="G63" s="26" t="n">
        <v>1</v>
      </c>
      <c r="H63" s="26" t="n">
        <v>0</v>
      </c>
      <c r="I63" s="25" t="b">
        <v>0</v>
      </c>
      <c r="J63" s="10" t="n">
        <v>996523</v>
      </c>
      <c r="K63" s="10" t="n">
        <v>0</v>
      </c>
      <c r="L63" s="10" t="n">
        <v>996523</v>
      </c>
      <c r="M63" s="10" t="n">
        <v>996523</v>
      </c>
      <c r="N63" s="10" t="n">
        <v>996523</v>
      </c>
      <c r="O63" s="10" t="n">
        <v>996523</v>
      </c>
    </row>
    <row r="64">
      <c r="B64" s="25" t="inlineStr">
        <is>
          <t>B3</t>
        </is>
      </c>
      <c r="C64" s="25" t="inlineStr">
        <is>
          <t>constraints_only</t>
        </is>
      </c>
      <c r="D64" s="25" t="inlineStr">
        <is>
          <t>k=2_rev20_pol=gpa</t>
        </is>
      </c>
      <c r="E64" s="25" t="inlineStr">
        <is>
          <t>constraint_count</t>
        </is>
      </c>
      <c r="F64" s="26" t="n">
        <v>1</v>
      </c>
      <c r="G64" s="26" t="n">
        <v>1</v>
      </c>
      <c r="H64" s="26" t="n">
        <v>0</v>
      </c>
      <c r="I64" s="25" t="b">
        <v>0</v>
      </c>
      <c r="J64" s="10" t="n">
        <v>996814</v>
      </c>
      <c r="K64" s="10" t="n">
        <v>0</v>
      </c>
      <c r="L64" s="10" t="n">
        <v>996814</v>
      </c>
      <c r="M64" s="10" t="n">
        <v>996814</v>
      </c>
      <c r="N64" s="10" t="n">
        <v>996814</v>
      </c>
      <c r="O64" s="10" t="n">
        <v>996814</v>
      </c>
    </row>
    <row r="65">
      <c r="B65" s="25" t="inlineStr">
        <is>
          <t>B3</t>
        </is>
      </c>
      <c r="C65" s="25" t="inlineStr">
        <is>
          <t>constraints_only</t>
        </is>
      </c>
      <c r="D65" s="25" t="inlineStr">
        <is>
          <t>k=2_rev20_pol=gpa_degree</t>
        </is>
      </c>
      <c r="E65" s="25" t="inlineStr">
        <is>
          <t>constraint_count</t>
        </is>
      </c>
      <c r="F65" s="26" t="n">
        <v>1</v>
      </c>
      <c r="G65" s="26" t="n">
        <v>1</v>
      </c>
      <c r="H65" s="26" t="n">
        <v>0</v>
      </c>
      <c r="I65" s="25" t="b">
        <v>0</v>
      </c>
      <c r="J65" s="10" t="n">
        <v>996821</v>
      </c>
      <c r="K65" s="10" t="n">
        <v>0</v>
      </c>
      <c r="L65" s="10" t="n">
        <v>996821</v>
      </c>
      <c r="M65" s="10" t="n">
        <v>996821</v>
      </c>
      <c r="N65" s="10" t="n">
        <v>996821</v>
      </c>
      <c r="O65" s="10" t="n">
        <v>996821</v>
      </c>
    </row>
    <row r="66">
      <c r="B66" s="25" t="inlineStr">
        <is>
          <t>B3</t>
        </is>
      </c>
      <c r="C66" s="25" t="inlineStr">
        <is>
          <t>constraints_only</t>
        </is>
      </c>
      <c r="D66" s="25" t="inlineStr">
        <is>
          <t>k=4_rev10_pol=none</t>
        </is>
      </c>
      <c r="E66" s="25" t="inlineStr">
        <is>
          <t>constraint_count</t>
        </is>
      </c>
      <c r="F66" s="26" t="n">
        <v>1</v>
      </c>
      <c r="G66" s="26" t="n">
        <v>1</v>
      </c>
      <c r="H66" s="26" t="n">
        <v>0</v>
      </c>
      <c r="I66" s="25" t="b">
        <v>0</v>
      </c>
      <c r="J66" s="10" t="n">
        <v>1488261</v>
      </c>
      <c r="K66" s="10" t="n">
        <v>0</v>
      </c>
      <c r="L66" s="10" t="n">
        <v>1488261</v>
      </c>
      <c r="M66" s="10" t="n">
        <v>1488261</v>
      </c>
      <c r="N66" s="10" t="n">
        <v>1488261</v>
      </c>
      <c r="O66" s="10" t="n">
        <v>1488261</v>
      </c>
    </row>
    <row r="67">
      <c r="B67" s="25" t="inlineStr">
        <is>
          <t>B3</t>
        </is>
      </c>
      <c r="C67" s="25" t="inlineStr">
        <is>
          <t>constraints_only</t>
        </is>
      </c>
      <c r="D67" s="25" t="inlineStr">
        <is>
          <t>k=4_rev10_pol=gpa</t>
        </is>
      </c>
      <c r="E67" s="25" t="inlineStr">
        <is>
          <t>constraint_count</t>
        </is>
      </c>
      <c r="F67" s="26" t="n">
        <v>1</v>
      </c>
      <c r="G67" s="26" t="n">
        <v>1</v>
      </c>
      <c r="H67" s="26" t="n">
        <v>0</v>
      </c>
      <c r="I67" s="25" t="b">
        <v>0</v>
      </c>
      <c r="J67" s="10" t="n">
        <v>1488552</v>
      </c>
      <c r="K67" s="10" t="n">
        <v>0</v>
      </c>
      <c r="L67" s="10" t="n">
        <v>1488552</v>
      </c>
      <c r="M67" s="10" t="n">
        <v>1488552</v>
      </c>
      <c r="N67" s="10" t="n">
        <v>1488552</v>
      </c>
      <c r="O67" s="10" t="n">
        <v>1488552</v>
      </c>
    </row>
    <row r="68">
      <c r="B68" s="25" t="inlineStr">
        <is>
          <t>B3</t>
        </is>
      </c>
      <c r="C68" s="25" t="inlineStr">
        <is>
          <t>constraints_only</t>
        </is>
      </c>
      <c r="D68" s="25" t="inlineStr">
        <is>
          <t>k=4_rev10_pol=gpa_degree</t>
        </is>
      </c>
      <c r="E68" s="25" t="inlineStr">
        <is>
          <t>constraint_count</t>
        </is>
      </c>
      <c r="F68" s="26" t="n">
        <v>1</v>
      </c>
      <c r="G68" s="26" t="n">
        <v>1</v>
      </c>
      <c r="H68" s="26" t="n">
        <v>0</v>
      </c>
      <c r="I68" s="25" t="b">
        <v>0</v>
      </c>
      <c r="J68" s="10" t="n">
        <v>1488559</v>
      </c>
      <c r="K68" s="10" t="n">
        <v>0</v>
      </c>
      <c r="L68" s="10" t="n">
        <v>1488559</v>
      </c>
      <c r="M68" s="10" t="n">
        <v>1488559</v>
      </c>
      <c r="N68" s="10" t="n">
        <v>1488559</v>
      </c>
      <c r="O68" s="10" t="n">
        <v>1488559</v>
      </c>
    </row>
    <row r="69">
      <c r="B69" s="25" t="inlineStr">
        <is>
          <t>B3</t>
        </is>
      </c>
      <c r="C69" s="25" t="inlineStr">
        <is>
          <t>constraints_only</t>
        </is>
      </c>
      <c r="D69" s="25" t="inlineStr">
        <is>
          <t>k=4_rev20_pol=none</t>
        </is>
      </c>
      <c r="E69" s="25" t="inlineStr">
        <is>
          <t>constraint_count</t>
        </is>
      </c>
      <c r="F69" s="26" t="n">
        <v>1</v>
      </c>
      <c r="G69" s="26" t="n">
        <v>1</v>
      </c>
      <c r="H69" s="26" t="n">
        <v>0</v>
      </c>
      <c r="I69" s="25" t="b">
        <v>0</v>
      </c>
      <c r="J69" s="10" t="n">
        <v>1491381</v>
      </c>
      <c r="K69" s="10" t="n">
        <v>0</v>
      </c>
      <c r="L69" s="10" t="n">
        <v>1491381</v>
      </c>
      <c r="M69" s="10" t="n">
        <v>1491381</v>
      </c>
      <c r="N69" s="10" t="n">
        <v>1491381</v>
      </c>
      <c r="O69" s="10" t="n">
        <v>1491381</v>
      </c>
    </row>
    <row r="70">
      <c r="B70" s="25" t="inlineStr">
        <is>
          <t>B3</t>
        </is>
      </c>
      <c r="C70" s="25" t="inlineStr">
        <is>
          <t>constraints_only</t>
        </is>
      </c>
      <c r="D70" s="25" t="inlineStr">
        <is>
          <t>k=4_rev20_pol=gpa</t>
        </is>
      </c>
      <c r="E70" s="25" t="inlineStr">
        <is>
          <t>constraint_count</t>
        </is>
      </c>
      <c r="F70" s="26" t="n">
        <v>1</v>
      </c>
      <c r="G70" s="26" t="n">
        <v>1</v>
      </c>
      <c r="H70" s="26" t="n">
        <v>0</v>
      </c>
      <c r="I70" s="25" t="b">
        <v>0</v>
      </c>
      <c r="J70" s="10" t="n">
        <v>1491672</v>
      </c>
      <c r="K70" s="10" t="n">
        <v>0</v>
      </c>
      <c r="L70" s="10" t="n">
        <v>1491672</v>
      </c>
      <c r="M70" s="10" t="n">
        <v>1491672</v>
      </c>
      <c r="N70" s="10" t="n">
        <v>1491672</v>
      </c>
      <c r="O70" s="10" t="n">
        <v>1491672</v>
      </c>
    </row>
    <row r="71">
      <c r="B71" s="25" t="inlineStr">
        <is>
          <t>B3</t>
        </is>
      </c>
      <c r="C71" s="25" t="inlineStr">
        <is>
          <t>constraints_only</t>
        </is>
      </c>
      <c r="D71" s="25" t="inlineStr">
        <is>
          <t>k=4_rev20_pol=gpa_degree</t>
        </is>
      </c>
      <c r="E71" s="25" t="inlineStr">
        <is>
          <t>constraint_count</t>
        </is>
      </c>
      <c r="F71" s="26" t="n">
        <v>1</v>
      </c>
      <c r="G71" s="26" t="n">
        <v>1</v>
      </c>
      <c r="H71" s="26" t="n">
        <v>0</v>
      </c>
      <c r="I71" s="25" t="b">
        <v>0</v>
      </c>
      <c r="J71" s="10" t="n">
        <v>1491679</v>
      </c>
      <c r="K71" s="10" t="n">
        <v>0</v>
      </c>
      <c r="L71" s="10" t="n">
        <v>1491679</v>
      </c>
      <c r="M71" s="10" t="n">
        <v>1491679</v>
      </c>
      <c r="N71" s="10" t="n">
        <v>1491679</v>
      </c>
      <c r="O71" s="10" t="n">
        <v>1491679</v>
      </c>
    </row>
    <row r="72">
      <c r="B72" s="25" t="inlineStr">
        <is>
          <t>B3</t>
        </is>
      </c>
      <c r="C72" s="25" t="inlineStr">
        <is>
          <t>constraints_only</t>
        </is>
      </c>
      <c r="D72" s="25" t="inlineStr">
        <is>
          <t>k=6_rev10_pol=none</t>
        </is>
      </c>
      <c r="E72" s="25" t="inlineStr">
        <is>
          <t>constraint_count</t>
        </is>
      </c>
      <c r="F72" s="26" t="n">
        <v>1</v>
      </c>
      <c r="G72" s="26" t="n">
        <v>1</v>
      </c>
      <c r="H72" s="26" t="n">
        <v>0</v>
      </c>
      <c r="I72" s="25" t="b">
        <v>0</v>
      </c>
      <c r="J72" s="10" t="n">
        <v>1983119</v>
      </c>
      <c r="K72" s="10" t="n">
        <v>0</v>
      </c>
      <c r="L72" s="10" t="n">
        <v>1983119</v>
      </c>
      <c r="M72" s="10" t="n">
        <v>1983119</v>
      </c>
      <c r="N72" s="10" t="n">
        <v>1983119</v>
      </c>
      <c r="O72" s="10" t="n">
        <v>1983119</v>
      </c>
    </row>
    <row r="73">
      <c r="B73" s="25" t="inlineStr">
        <is>
          <t>B3</t>
        </is>
      </c>
      <c r="C73" s="25" t="inlineStr">
        <is>
          <t>constraints_only</t>
        </is>
      </c>
      <c r="D73" s="25" t="inlineStr">
        <is>
          <t>k=6_rev10_pol=gpa</t>
        </is>
      </c>
      <c r="E73" s="25" t="inlineStr">
        <is>
          <t>constraint_count</t>
        </is>
      </c>
      <c r="F73" s="26" t="n">
        <v>1</v>
      </c>
      <c r="G73" s="26" t="n">
        <v>1</v>
      </c>
      <c r="H73" s="26" t="n">
        <v>0</v>
      </c>
      <c r="I73" s="25" t="b">
        <v>0</v>
      </c>
      <c r="J73" s="10" t="n">
        <v>1983410</v>
      </c>
      <c r="K73" s="10" t="n">
        <v>0</v>
      </c>
      <c r="L73" s="10" t="n">
        <v>1983410</v>
      </c>
      <c r="M73" s="10" t="n">
        <v>1983410</v>
      </c>
      <c r="N73" s="10" t="n">
        <v>1983410</v>
      </c>
      <c r="O73" s="10" t="n">
        <v>1983410</v>
      </c>
    </row>
    <row r="74">
      <c r="B74" s="25" t="inlineStr">
        <is>
          <t>B3</t>
        </is>
      </c>
      <c r="C74" s="25" t="inlineStr">
        <is>
          <t>constraints_only</t>
        </is>
      </c>
      <c r="D74" s="25" t="inlineStr">
        <is>
          <t>k=6_rev10_pol=gpa_degree</t>
        </is>
      </c>
      <c r="E74" s="25" t="inlineStr">
        <is>
          <t>constraint_count</t>
        </is>
      </c>
      <c r="F74" s="26" t="n">
        <v>1</v>
      </c>
      <c r="G74" s="26" t="n">
        <v>1</v>
      </c>
      <c r="H74" s="26" t="n">
        <v>0</v>
      </c>
      <c r="I74" s="25" t="b">
        <v>0</v>
      </c>
      <c r="J74" s="10" t="n">
        <v>1983417</v>
      </c>
      <c r="K74" s="10" t="n">
        <v>0</v>
      </c>
      <c r="L74" s="10" t="n">
        <v>1983417</v>
      </c>
      <c r="M74" s="10" t="n">
        <v>1983417</v>
      </c>
      <c r="N74" s="10" t="n">
        <v>1983417</v>
      </c>
      <c r="O74" s="10" t="n">
        <v>1983417</v>
      </c>
    </row>
    <row r="75">
      <c r="B75" s="25" t="inlineStr">
        <is>
          <t>B3</t>
        </is>
      </c>
      <c r="C75" s="25" t="inlineStr">
        <is>
          <t>constraints_only</t>
        </is>
      </c>
      <c r="D75" s="25" t="inlineStr">
        <is>
          <t>k=6_rev20_pol=none</t>
        </is>
      </c>
      <c r="E75" s="25" t="inlineStr">
        <is>
          <t>constraint_count</t>
        </is>
      </c>
      <c r="F75" s="26" t="n">
        <v>1</v>
      </c>
      <c r="G75" s="26" t="n">
        <v>1</v>
      </c>
      <c r="H75" s="26" t="n">
        <v>0</v>
      </c>
      <c r="I75" s="25" t="b">
        <v>0</v>
      </c>
      <c r="J75" s="10" t="n">
        <v>1986239</v>
      </c>
      <c r="K75" s="10" t="n">
        <v>0</v>
      </c>
      <c r="L75" s="10" t="n">
        <v>1986239</v>
      </c>
      <c r="M75" s="10" t="n">
        <v>1986239</v>
      </c>
      <c r="N75" s="10" t="n">
        <v>1986239</v>
      </c>
      <c r="O75" s="10" t="n">
        <v>1986239</v>
      </c>
    </row>
    <row r="76">
      <c r="B76" s="25" t="inlineStr">
        <is>
          <t>B3</t>
        </is>
      </c>
      <c r="C76" s="25" t="inlineStr">
        <is>
          <t>constraints_only</t>
        </is>
      </c>
      <c r="D76" s="25" t="inlineStr">
        <is>
          <t>k=6_rev20_pol=gpa</t>
        </is>
      </c>
      <c r="E76" s="25" t="inlineStr">
        <is>
          <t>constraint_count</t>
        </is>
      </c>
      <c r="F76" s="26" t="n">
        <v>1</v>
      </c>
      <c r="G76" s="26" t="n">
        <v>1</v>
      </c>
      <c r="H76" s="26" t="n">
        <v>0</v>
      </c>
      <c r="I76" s="25" t="b">
        <v>0</v>
      </c>
      <c r="J76" s="10" t="n">
        <v>1986530</v>
      </c>
      <c r="K76" s="10" t="n">
        <v>0</v>
      </c>
      <c r="L76" s="10" t="n">
        <v>1986530</v>
      </c>
      <c r="M76" s="10" t="n">
        <v>1986530</v>
      </c>
      <c r="N76" s="10" t="n">
        <v>1986530</v>
      </c>
      <c r="O76" s="10" t="n">
        <v>1986530</v>
      </c>
    </row>
    <row r="77">
      <c r="B77" s="25" t="inlineStr">
        <is>
          <t>B3</t>
        </is>
      </c>
      <c r="C77" s="25" t="inlineStr">
        <is>
          <t>constraints_only</t>
        </is>
      </c>
      <c r="D77" s="25" t="inlineStr">
        <is>
          <t>k=6_rev20_pol=gpa_degree</t>
        </is>
      </c>
      <c r="E77" s="25" t="inlineStr">
        <is>
          <t>constraint_count</t>
        </is>
      </c>
      <c r="F77" s="26" t="n">
        <v>1</v>
      </c>
      <c r="G77" s="26" t="n">
        <v>1</v>
      </c>
      <c r="H77" s="26" t="n">
        <v>0</v>
      </c>
      <c r="I77" s="25" t="b">
        <v>0</v>
      </c>
      <c r="J77" s="10" t="n">
        <v>1986537</v>
      </c>
      <c r="K77" s="10" t="n">
        <v>0</v>
      </c>
      <c r="L77" s="10" t="n">
        <v>1986537</v>
      </c>
      <c r="M77" s="10" t="n">
        <v>1986537</v>
      </c>
      <c r="N77" s="10" t="n">
        <v>1986537</v>
      </c>
      <c r="O77" s="10" t="n">
        <v>1986537</v>
      </c>
    </row>
    <row r="78">
      <c r="B78" s="25" t="inlineStr">
        <is>
          <t>B3</t>
        </is>
      </c>
      <c r="C78" s="25" t="inlineStr">
        <is>
          <t>constraints_only</t>
        </is>
      </c>
      <c r="D78" s="25" t="inlineStr">
        <is>
          <t>k=8_rev10_pol=none</t>
        </is>
      </c>
      <c r="E78" s="25" t="inlineStr">
        <is>
          <t>constraint_count</t>
        </is>
      </c>
      <c r="F78" s="26" t="n">
        <v>1</v>
      </c>
      <c r="G78" s="26" t="n">
        <v>1</v>
      </c>
      <c r="H78" s="26" t="n">
        <v>0</v>
      </c>
      <c r="I78" s="25" t="b">
        <v>0</v>
      </c>
      <c r="J78" s="10" t="n">
        <v>2477977</v>
      </c>
      <c r="K78" s="10" t="n">
        <v>0</v>
      </c>
      <c r="L78" s="10" t="n">
        <v>2477977</v>
      </c>
      <c r="M78" s="10" t="n">
        <v>2477977</v>
      </c>
      <c r="N78" s="10" t="n">
        <v>2477977</v>
      </c>
      <c r="O78" s="10" t="n">
        <v>2477977</v>
      </c>
    </row>
    <row r="79">
      <c r="B79" s="25" t="inlineStr">
        <is>
          <t>B3</t>
        </is>
      </c>
      <c r="C79" s="25" t="inlineStr">
        <is>
          <t>constraints_only</t>
        </is>
      </c>
      <c r="D79" s="25" t="inlineStr">
        <is>
          <t>k=8_rev10_pol=gpa</t>
        </is>
      </c>
      <c r="E79" s="25" t="inlineStr">
        <is>
          <t>constraint_count</t>
        </is>
      </c>
      <c r="F79" s="26" t="n">
        <v>1</v>
      </c>
      <c r="G79" s="26" t="n">
        <v>1</v>
      </c>
      <c r="H79" s="26" t="n">
        <v>0</v>
      </c>
      <c r="I79" s="25" t="b">
        <v>0</v>
      </c>
      <c r="J79" s="10" t="n">
        <v>2478268</v>
      </c>
      <c r="K79" s="10" t="n">
        <v>0</v>
      </c>
      <c r="L79" s="10" t="n">
        <v>2478268</v>
      </c>
      <c r="M79" s="10" t="n">
        <v>2478268</v>
      </c>
      <c r="N79" s="10" t="n">
        <v>2478268</v>
      </c>
      <c r="O79" s="10" t="n">
        <v>2478268</v>
      </c>
    </row>
    <row r="80">
      <c r="B80" s="25" t="inlineStr">
        <is>
          <t>B3</t>
        </is>
      </c>
      <c r="C80" s="25" t="inlineStr">
        <is>
          <t>constraints_only</t>
        </is>
      </c>
      <c r="D80" s="25" t="inlineStr">
        <is>
          <t>k=8_rev10_pol=gpa_degree</t>
        </is>
      </c>
      <c r="E80" s="25" t="inlineStr">
        <is>
          <t>constraint_count</t>
        </is>
      </c>
      <c r="F80" s="26" t="n">
        <v>1</v>
      </c>
      <c r="G80" s="26" t="n">
        <v>1</v>
      </c>
      <c r="H80" s="26" t="n">
        <v>0</v>
      </c>
      <c r="I80" s="25" t="b">
        <v>0</v>
      </c>
      <c r="J80" s="10" t="n">
        <v>2478275</v>
      </c>
      <c r="K80" s="10" t="n">
        <v>0</v>
      </c>
      <c r="L80" s="10" t="n">
        <v>2478275</v>
      </c>
      <c r="M80" s="10" t="n">
        <v>2478275</v>
      </c>
      <c r="N80" s="10" t="n">
        <v>2478275</v>
      </c>
      <c r="O80" s="10" t="n">
        <v>2478275</v>
      </c>
    </row>
    <row r="81">
      <c r="B81" s="25" t="inlineStr">
        <is>
          <t>B3</t>
        </is>
      </c>
      <c r="C81" s="25" t="inlineStr">
        <is>
          <t>constraints_only</t>
        </is>
      </c>
      <c r="D81" s="25" t="inlineStr">
        <is>
          <t>k=8_rev20_pol=none</t>
        </is>
      </c>
      <c r="E81" s="25" t="inlineStr">
        <is>
          <t>constraint_count</t>
        </is>
      </c>
      <c r="F81" s="26" t="n">
        <v>1</v>
      </c>
      <c r="G81" s="26" t="n">
        <v>1</v>
      </c>
      <c r="H81" s="26" t="n">
        <v>0</v>
      </c>
      <c r="I81" s="25" t="b">
        <v>0</v>
      </c>
      <c r="J81" s="10" t="n">
        <v>2481097</v>
      </c>
      <c r="K81" s="10" t="n">
        <v>0</v>
      </c>
      <c r="L81" s="10" t="n">
        <v>2481097</v>
      </c>
      <c r="M81" s="10" t="n">
        <v>2481097</v>
      </c>
      <c r="N81" s="10" t="n">
        <v>2481097</v>
      </c>
      <c r="O81" s="10" t="n">
        <v>2481097</v>
      </c>
    </row>
    <row r="82">
      <c r="B82" s="25" t="inlineStr">
        <is>
          <t>B3</t>
        </is>
      </c>
      <c r="C82" s="25" t="inlineStr">
        <is>
          <t>constraints_only</t>
        </is>
      </c>
      <c r="D82" s="25" t="inlineStr">
        <is>
          <t>k=8_rev20_pol=gpa</t>
        </is>
      </c>
      <c r="E82" s="25" t="inlineStr">
        <is>
          <t>constraint_count</t>
        </is>
      </c>
      <c r="F82" s="26" t="n">
        <v>1</v>
      </c>
      <c r="G82" s="26" t="n">
        <v>1</v>
      </c>
      <c r="H82" s="26" t="n">
        <v>0</v>
      </c>
      <c r="I82" s="25" t="b">
        <v>0</v>
      </c>
      <c r="J82" s="10" t="n">
        <v>2481388</v>
      </c>
      <c r="K82" s="10" t="n">
        <v>0</v>
      </c>
      <c r="L82" s="10" t="n">
        <v>2481388</v>
      </c>
      <c r="M82" s="10" t="n">
        <v>2481388</v>
      </c>
      <c r="N82" s="10" t="n">
        <v>2481388</v>
      </c>
      <c r="O82" s="10" t="n">
        <v>2481388</v>
      </c>
    </row>
    <row r="83">
      <c r="B83" s="25" t="inlineStr">
        <is>
          <t>B3</t>
        </is>
      </c>
      <c r="C83" s="25" t="inlineStr">
        <is>
          <t>constraints_only</t>
        </is>
      </c>
      <c r="D83" s="25" t="inlineStr">
        <is>
          <t>k=8_rev20_pol=gpa_degree</t>
        </is>
      </c>
      <c r="E83" s="25" t="inlineStr">
        <is>
          <t>constraint_count</t>
        </is>
      </c>
      <c r="F83" s="26" t="n">
        <v>1</v>
      </c>
      <c r="G83" s="26" t="n">
        <v>1</v>
      </c>
      <c r="H83" s="26" t="n">
        <v>0</v>
      </c>
      <c r="I83" s="25" t="b">
        <v>0</v>
      </c>
      <c r="J83" s="10" t="n">
        <v>2481395</v>
      </c>
      <c r="K83" s="10" t="n">
        <v>0</v>
      </c>
      <c r="L83" s="10" t="n">
        <v>2481395</v>
      </c>
      <c r="M83" s="10" t="n">
        <v>2481395</v>
      </c>
      <c r="N83" s="10" t="n">
        <v>2481395</v>
      </c>
      <c r="O83" s="10" t="n">
        <v>2481395</v>
      </c>
    </row>
    <row r="84">
      <c r="B84" s="25" t="inlineStr">
        <is>
          <t>B3</t>
        </is>
      </c>
      <c r="C84" s="25" t="inlineStr">
        <is>
          <t>constraints_only</t>
        </is>
      </c>
      <c r="D84" s="25" t="inlineStr">
        <is>
          <t>k=14_rev10_pol=none</t>
        </is>
      </c>
      <c r="E84" s="25" t="inlineStr">
        <is>
          <t>constraint_count</t>
        </is>
      </c>
      <c r="F84" s="26" t="n">
        <v>1</v>
      </c>
      <c r="G84" s="26" t="n">
        <v>1</v>
      </c>
      <c r="H84" s="26" t="n">
        <v>0</v>
      </c>
      <c r="I84" s="25" t="b">
        <v>0</v>
      </c>
      <c r="J84" s="10" t="n">
        <v>3962551</v>
      </c>
      <c r="K84" s="10" t="n">
        <v>0</v>
      </c>
      <c r="L84" s="10" t="n">
        <v>3962551</v>
      </c>
      <c r="M84" s="10" t="n">
        <v>3962551</v>
      </c>
      <c r="N84" s="10" t="n">
        <v>3962551</v>
      </c>
      <c r="O84" s="10" t="n">
        <v>3962551</v>
      </c>
    </row>
    <row r="85">
      <c r="B85" s="25" t="inlineStr">
        <is>
          <t>B3</t>
        </is>
      </c>
      <c r="C85" s="25" t="inlineStr">
        <is>
          <t>constraints_only</t>
        </is>
      </c>
      <c r="D85" s="25" t="inlineStr">
        <is>
          <t>k=14_rev10_pol=gpa</t>
        </is>
      </c>
      <c r="E85" s="25" t="inlineStr">
        <is>
          <t>constraint_count</t>
        </is>
      </c>
      <c r="F85" s="26" t="n">
        <v>1</v>
      </c>
      <c r="G85" s="26" t="n">
        <v>1</v>
      </c>
      <c r="H85" s="26" t="n">
        <v>0</v>
      </c>
      <c r="I85" s="25" t="b">
        <v>0</v>
      </c>
      <c r="J85" s="10" t="n">
        <v>3962842</v>
      </c>
      <c r="K85" s="10" t="n">
        <v>0</v>
      </c>
      <c r="L85" s="10" t="n">
        <v>3962842</v>
      </c>
      <c r="M85" s="10" t="n">
        <v>3962842</v>
      </c>
      <c r="N85" s="10" t="n">
        <v>3962842</v>
      </c>
      <c r="O85" s="10" t="n">
        <v>3962842</v>
      </c>
    </row>
    <row r="86">
      <c r="B86" s="25" t="inlineStr">
        <is>
          <t>B3</t>
        </is>
      </c>
      <c r="C86" s="25" t="inlineStr">
        <is>
          <t>constraints_only</t>
        </is>
      </c>
      <c r="D86" s="25" t="inlineStr">
        <is>
          <t>k=14_rev10_pol=gpa_degree</t>
        </is>
      </c>
      <c r="E86" s="25" t="inlineStr">
        <is>
          <t>constraint_count</t>
        </is>
      </c>
      <c r="F86" s="26" t="n">
        <v>1</v>
      </c>
      <c r="G86" s="26" t="n">
        <v>1</v>
      </c>
      <c r="H86" s="26" t="n">
        <v>0</v>
      </c>
      <c r="I86" s="25" t="b">
        <v>0</v>
      </c>
      <c r="J86" s="10" t="n">
        <v>3962849</v>
      </c>
      <c r="K86" s="10" t="n">
        <v>0</v>
      </c>
      <c r="L86" s="10" t="n">
        <v>3962849</v>
      </c>
      <c r="M86" s="10" t="n">
        <v>3962849</v>
      </c>
      <c r="N86" s="10" t="n">
        <v>3962849</v>
      </c>
      <c r="O86" s="10" t="n">
        <v>3962849</v>
      </c>
    </row>
    <row r="87">
      <c r="B87" s="25" t="inlineStr">
        <is>
          <t>B3</t>
        </is>
      </c>
      <c r="C87" s="25" t="inlineStr">
        <is>
          <t>constraints_only</t>
        </is>
      </c>
      <c r="D87" s="25" t="inlineStr">
        <is>
          <t>k=14_rev20_pol=none</t>
        </is>
      </c>
      <c r="E87" s="25" t="inlineStr">
        <is>
          <t>constraint_count</t>
        </is>
      </c>
      <c r="F87" s="26" t="n">
        <v>1</v>
      </c>
      <c r="G87" s="26" t="n">
        <v>1</v>
      </c>
      <c r="H87" s="26" t="n">
        <v>0</v>
      </c>
      <c r="I87" s="25" t="b">
        <v>0</v>
      </c>
      <c r="J87" s="10" t="n">
        <v>3965671</v>
      </c>
      <c r="K87" s="10" t="n">
        <v>0</v>
      </c>
      <c r="L87" s="10" t="n">
        <v>3965671</v>
      </c>
      <c r="M87" s="10" t="n">
        <v>3965671</v>
      </c>
      <c r="N87" s="10" t="n">
        <v>3965671</v>
      </c>
      <c r="O87" s="10" t="n">
        <v>3965671</v>
      </c>
    </row>
    <row r="88">
      <c r="B88" s="25" t="inlineStr">
        <is>
          <t>B3</t>
        </is>
      </c>
      <c r="C88" s="25" t="inlineStr">
        <is>
          <t>constraints_only</t>
        </is>
      </c>
      <c r="D88" s="25" t="inlineStr">
        <is>
          <t>k=14_rev20_pol=gpa</t>
        </is>
      </c>
      <c r="E88" s="25" t="inlineStr">
        <is>
          <t>constraint_count</t>
        </is>
      </c>
      <c r="F88" s="26" t="n">
        <v>1</v>
      </c>
      <c r="G88" s="26" t="n">
        <v>1</v>
      </c>
      <c r="H88" s="26" t="n">
        <v>0</v>
      </c>
      <c r="I88" s="25" t="b">
        <v>0</v>
      </c>
      <c r="J88" s="10" t="n">
        <v>3965962</v>
      </c>
      <c r="K88" s="10" t="n">
        <v>0</v>
      </c>
      <c r="L88" s="10" t="n">
        <v>3965962</v>
      </c>
      <c r="M88" s="10" t="n">
        <v>3965962</v>
      </c>
      <c r="N88" s="10" t="n">
        <v>3965962</v>
      </c>
      <c r="O88" s="10" t="n">
        <v>3965962</v>
      </c>
    </row>
    <row r="89">
      <c r="B89" s="25" t="inlineStr">
        <is>
          <t>B3</t>
        </is>
      </c>
      <c r="C89" s="25" t="inlineStr">
        <is>
          <t>constraints_only</t>
        </is>
      </c>
      <c r="D89" s="25" t="inlineStr">
        <is>
          <t>k=14_rev20_pol=gpa_degree</t>
        </is>
      </c>
      <c r="E89" s="25" t="inlineStr">
        <is>
          <t>constraint_count</t>
        </is>
      </c>
      <c r="F89" s="26" t="n">
        <v>1</v>
      </c>
      <c r="G89" s="26" t="n">
        <v>1</v>
      </c>
      <c r="H89" s="26" t="n">
        <v>0</v>
      </c>
      <c r="I89" s="25" t="b">
        <v>0</v>
      </c>
      <c r="J89" s="10" t="n">
        <v>3965969</v>
      </c>
      <c r="K89" s="10" t="n">
        <v>0</v>
      </c>
      <c r="L89" s="10" t="n">
        <v>3965969</v>
      </c>
      <c r="M89" s="10" t="n">
        <v>3965969</v>
      </c>
      <c r="N89" s="10" t="n">
        <v>3965969</v>
      </c>
      <c r="O89" s="10" t="n">
        <v>3965969</v>
      </c>
    </row>
    <row r="90">
      <c r="B90" s="25" t="inlineStr">
        <is>
          <t>B4</t>
        </is>
      </c>
      <c r="C90" s="25" t="inlineStr">
        <is>
          <t>aurora</t>
        </is>
      </c>
      <c r="D90" s="25" t="inlineStr">
        <is>
          <t>aurora_loquat_r1cs</t>
        </is>
      </c>
      <c r="E90" s="25" t="inlineStr">
        <is>
          <t>prove_ms</t>
        </is>
      </c>
      <c r="F90" s="26" t="n">
        <v>10</v>
      </c>
      <c r="G90" s="26" t="n">
        <v>9</v>
      </c>
      <c r="H90" s="26" t="n">
        <v>1</v>
      </c>
      <c r="I90" s="25" t="b">
        <v>0</v>
      </c>
      <c r="J90" s="10" t="n">
        <v>14855.15178244445</v>
      </c>
      <c r="K90" s="10" t="n">
        <v>48.57052025096571</v>
      </c>
      <c r="L90" s="10" t="n">
        <v>14868.284292</v>
      </c>
      <c r="M90" s="10" t="n">
        <v>14908.0057164</v>
      </c>
      <c r="N90" s="10" t="n">
        <v>14760.384416</v>
      </c>
      <c r="O90" s="10" t="n">
        <v>14913.560166</v>
      </c>
    </row>
    <row r="91">
      <c r="B91" s="25" t="inlineStr">
        <is>
          <t>B4</t>
        </is>
      </c>
      <c r="C91" s="25" t="inlineStr">
        <is>
          <t>aurora</t>
        </is>
      </c>
      <c r="D91" s="25" t="inlineStr">
        <is>
          <t>aurora_loquat_r1cs</t>
        </is>
      </c>
      <c r="E91" s="25" t="inlineStr">
        <is>
          <t>verify_ms</t>
        </is>
      </c>
      <c r="F91" s="26" t="n">
        <v>10</v>
      </c>
      <c r="G91" s="26" t="n">
        <v>10</v>
      </c>
      <c r="H91" s="26" t="n">
        <v>0</v>
      </c>
      <c r="I91" s="25" t="b">
        <v>0</v>
      </c>
      <c r="J91" s="10" t="n">
        <v>6698.966104000001</v>
      </c>
      <c r="K91" s="10" t="n">
        <v>39.42727174713486</v>
      </c>
      <c r="L91" s="10" t="n">
        <v>6712.8206455</v>
      </c>
      <c r="M91" s="10" t="n">
        <v>6740.887000000001</v>
      </c>
      <c r="N91" s="10" t="n">
        <v>6623.251791000001</v>
      </c>
      <c r="O91" s="10" t="n">
        <v>6747.07675</v>
      </c>
    </row>
    <row r="92">
      <c r="B92" s="25" t="inlineStr">
        <is>
          <t>B4</t>
        </is>
      </c>
      <c r="C92" s="25" t="inlineStr">
        <is>
          <t>aurora</t>
        </is>
      </c>
      <c r="D92" s="25" t="inlineStr">
        <is>
          <t>aurora_loquat_r1cs</t>
        </is>
      </c>
      <c r="E92" s="25" t="inlineStr">
        <is>
          <t>proof_bytes</t>
        </is>
      </c>
      <c r="F92" s="26" t="n">
        <v>10</v>
      </c>
      <c r="G92" s="26" t="n">
        <v>10</v>
      </c>
      <c r="H92" s="26" t="n">
        <v>0</v>
      </c>
      <c r="I92" s="25" t="b">
        <v>0</v>
      </c>
      <c r="J92" s="10" t="n">
        <v>8405072</v>
      </c>
      <c r="K92" s="10" t="n">
        <v>0</v>
      </c>
      <c r="L92" s="10" t="n">
        <v>8405072</v>
      </c>
      <c r="M92" s="10" t="n">
        <v>8405072</v>
      </c>
      <c r="N92" s="10" t="n">
        <v>8405072</v>
      </c>
      <c r="O92" s="10" t="n">
        <v>8405072</v>
      </c>
    </row>
    <row r="93">
      <c r="B93" s="25" t="inlineStr">
        <is>
          <t>B4</t>
        </is>
      </c>
      <c r="C93" s="25" t="inlineStr">
        <is>
          <t>fractal</t>
        </is>
      </c>
      <c r="D93" s="25" t="inlineStr">
        <is>
          <t>fractal_loquat_r1cs</t>
        </is>
      </c>
      <c r="E93" s="25" t="inlineStr">
        <is>
          <t>prove_ms</t>
        </is>
      </c>
      <c r="F93" s="26" t="n">
        <v>10</v>
      </c>
      <c r="G93" s="26" t="n">
        <v>10</v>
      </c>
      <c r="H93" s="26" t="n">
        <v>0</v>
      </c>
      <c r="I93" s="25" t="b">
        <v>0</v>
      </c>
      <c r="J93" s="10" t="n">
        <v>14879.3456626</v>
      </c>
      <c r="K93" s="10" t="n">
        <v>32.8188431832873</v>
      </c>
      <c r="L93" s="10" t="n">
        <v>14876.2452495</v>
      </c>
      <c r="M93" s="10" t="n">
        <v>14932.4713273</v>
      </c>
      <c r="N93" s="10" t="n">
        <v>14835.592584</v>
      </c>
      <c r="O93" s="10" t="n">
        <v>14936.567959</v>
      </c>
    </row>
    <row r="94">
      <c r="B94" s="25" t="inlineStr">
        <is>
          <t>B4</t>
        </is>
      </c>
      <c r="C94" s="25" t="inlineStr">
        <is>
          <t>fractal</t>
        </is>
      </c>
      <c r="D94" s="25" t="inlineStr">
        <is>
          <t>fractal_loquat_r1cs</t>
        </is>
      </c>
      <c r="E94" s="25" t="inlineStr">
        <is>
          <t>verify_ms</t>
        </is>
      </c>
      <c r="F94" s="26" t="n">
        <v>10</v>
      </c>
      <c r="G94" s="26" t="n">
        <v>10</v>
      </c>
      <c r="H94" s="26" t="n">
        <v>0</v>
      </c>
      <c r="I94" s="25" t="b">
        <v>0</v>
      </c>
      <c r="J94" s="10" t="n">
        <v>6736.5076833</v>
      </c>
      <c r="K94" s="10" t="n">
        <v>19.57228433826278</v>
      </c>
      <c r="L94" s="10" t="n">
        <v>6741.962541999999</v>
      </c>
      <c r="M94" s="10" t="n">
        <v>6757.70253735</v>
      </c>
      <c r="N94" s="10" t="n">
        <v>6702.471541999999</v>
      </c>
      <c r="O94" s="10" t="n">
        <v>6758.639625</v>
      </c>
    </row>
    <row r="95">
      <c r="B95" s="25" t="inlineStr">
        <is>
          <t>B4</t>
        </is>
      </c>
      <c r="C95" s="25" t="inlineStr">
        <is>
          <t>fractal</t>
        </is>
      </c>
      <c r="D95" s="25" t="inlineStr">
        <is>
          <t>fractal_loquat_r1cs</t>
        </is>
      </c>
      <c r="E95" s="25" t="inlineStr">
        <is>
          <t>proof_bytes</t>
        </is>
      </c>
      <c r="F95" s="26" t="n">
        <v>10</v>
      </c>
      <c r="G95" s="26" t="n">
        <v>10</v>
      </c>
      <c r="H95" s="26" t="n">
        <v>0</v>
      </c>
      <c r="I95" s="25" t="b">
        <v>0</v>
      </c>
      <c r="J95" s="10" t="n">
        <v>8407400</v>
      </c>
      <c r="K95" s="10" t="n">
        <v>0</v>
      </c>
      <c r="L95" s="10" t="n">
        <v>8407400</v>
      </c>
      <c r="M95" s="10" t="n">
        <v>8407400</v>
      </c>
      <c r="N95" s="10" t="n">
        <v>8407400</v>
      </c>
      <c r="O95" s="10" t="n">
        <v>8407400</v>
      </c>
    </row>
    <row r="96">
      <c r="B96" s="25" t="inlineStr">
        <is>
          <t>B1</t>
        </is>
      </c>
      <c r="C96" s="25" t="inlineStr">
        <is>
          <t>nargo_compile</t>
        </is>
      </c>
      <c r="D96" s="25" t="inlineStr">
        <is>
          <t>compile_opt=default</t>
        </is>
      </c>
      <c r="E96" s="25" t="inlineStr">
        <is>
          <t>compile_ms</t>
        </is>
      </c>
      <c r="F96" s="26" t="n">
        <v>10</v>
      </c>
      <c r="G96" s="26" t="n">
        <v>10</v>
      </c>
      <c r="H96" s="26" t="n">
        <v>0</v>
      </c>
      <c r="I96" s="25" t="b">
        <v>0</v>
      </c>
      <c r="J96" s="10" t="n">
        <v>57.43093320000001</v>
      </c>
      <c r="K96" s="10" t="n">
        <v>1.141717798040724</v>
      </c>
      <c r="L96" s="10" t="n">
        <v>57.0836045</v>
      </c>
      <c r="M96" s="10" t="n">
        <v>59.24069115</v>
      </c>
      <c r="N96" s="10" t="n">
        <v>56.00725</v>
      </c>
      <c r="O96" s="10" t="n">
        <v>59.529291</v>
      </c>
    </row>
    <row r="97">
      <c r="B97" s="25" t="inlineStr">
        <is>
          <t>B1</t>
        </is>
      </c>
      <c r="C97" s="25" t="inlineStr">
        <is>
          <t>nargo_compile</t>
        </is>
      </c>
      <c r="D97" s="25" t="inlineStr">
        <is>
          <t>compile_opt=aggressive</t>
        </is>
      </c>
      <c r="E97" s="25" t="inlineStr">
        <is>
          <t>compile_ms</t>
        </is>
      </c>
      <c r="F97" s="26" t="n">
        <v>10</v>
      </c>
      <c r="G97" s="26" t="n">
        <v>10</v>
      </c>
      <c r="H97" s="26" t="n">
        <v>0</v>
      </c>
      <c r="I97" s="25" t="b">
        <v>0</v>
      </c>
      <c r="J97" s="10" t="n">
        <v>56.46983729999999</v>
      </c>
      <c r="K97" s="10" t="n">
        <v>0.5578858314228886</v>
      </c>
      <c r="L97" s="10" t="n">
        <v>56.5426875</v>
      </c>
      <c r="M97" s="10" t="n">
        <v>57.26866614999999</v>
      </c>
      <c r="N97" s="10" t="n">
        <v>55.52350000000001</v>
      </c>
      <c r="O97" s="10" t="n">
        <v>57.599791</v>
      </c>
    </row>
    <row r="98">
      <c r="B98" s="25" t="inlineStr">
        <is>
          <t>B1</t>
        </is>
      </c>
      <c r="C98" s="25" t="inlineStr">
        <is>
          <t>acir_pipeline</t>
        </is>
      </c>
      <c r="D98" s="25" t="inlineStr">
        <is>
          <t>bdec_showver_acir_pipeline</t>
        </is>
      </c>
      <c r="E98" s="25" t="inlineStr">
        <is>
          <t>acir_parse_ms</t>
        </is>
      </c>
      <c r="F98" s="26" t="n">
        <v>10</v>
      </c>
      <c r="G98" s="26" t="n">
        <v>10</v>
      </c>
      <c r="H98" s="26" t="n">
        <v>0</v>
      </c>
      <c r="I98" s="25" t="b">
        <v>0</v>
      </c>
      <c r="J98" s="10" t="n">
        <v>0.7359916999999999</v>
      </c>
      <c r="K98" s="10" t="n">
        <v>0.04838631820680305</v>
      </c>
      <c r="L98" s="10" t="n">
        <v>0.725417</v>
      </c>
      <c r="M98" s="10" t="n">
        <v>0.8167147</v>
      </c>
      <c r="N98" s="10" t="n">
        <v>0.684167</v>
      </c>
      <c r="O98" s="10" t="n">
        <v>0.836458</v>
      </c>
    </row>
    <row r="99">
      <c r="B99" s="25" t="inlineStr">
        <is>
          <t>B1</t>
        </is>
      </c>
      <c r="C99" s="25" t="inlineStr">
        <is>
          <t>acir_pipeline</t>
        </is>
      </c>
      <c r="D99" s="25" t="inlineStr">
        <is>
          <t>bdec_showver_acir_pipeline</t>
        </is>
      </c>
      <c r="E99" s="25" t="inlineStr">
        <is>
          <t>constraint_count</t>
        </is>
      </c>
      <c r="F99" s="26" t="n">
        <v>10</v>
      </c>
      <c r="G99" s="26" t="n">
        <v>10</v>
      </c>
      <c r="H99" s="26" t="n">
        <v>0</v>
      </c>
      <c r="I99" s="25" t="b">
        <v>0</v>
      </c>
      <c r="J99" s="10" t="n">
        <v>2866</v>
      </c>
      <c r="K99" s="10" t="n">
        <v>0</v>
      </c>
      <c r="L99" s="10" t="n">
        <v>2866</v>
      </c>
      <c r="M99" s="10" t="n">
        <v>2866</v>
      </c>
      <c r="N99" s="10" t="n">
        <v>2866</v>
      </c>
      <c r="O99" s="10" t="n">
        <v>2866</v>
      </c>
    </row>
  </sheetData>
  <autoFilter ref="B1:O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2026-04-19T06:35:14Z</dcterms:created>
  <dcterms:modified xmlns:dcterms="http://purl.org/dc/terms/" xmlns:xsi="http://www.w3.org/2001/XMLSchema-instance" xsi:type="dcterms:W3CDTF">2026-04-19T12:36:51Z</dcterms:modified>
</cp:coreProperties>
</file>