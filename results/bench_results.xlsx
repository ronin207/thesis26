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8020" tabRatio="600" firstSheet="0" activeTab="0" autoFilterDateGrouping="1"/>
  </bookViews>
  <sheets>
    <sheet name="PP2 Aurora (D2)" sheetId="1" state="visible" r:id="rId1"/>
    <sheet name="PP3 Policy (D2)" sheetId="2" state="visible" r:id="rId2"/>
    <sheet name="B8 libiop Aurora (Fp127²)" sheetId="3" state="visible" r:id="rId3"/>
    <sheet name="Constraint Scaling" sheetId="4" state="visible" r:id="rId4"/>
    <sheet name="Griffin Breakdown" sheetId="5" state="visible" r:id="rId5"/>
    <sheet name="Backend Comparison" sheetId="6" state="visible" r:id="rId6"/>
    <sheet name="zkVM (D2)" sheetId="7" state="visible" r:id="rId7"/>
    <sheet name="D1 Update Churn" sheetId="8" state="visible" r:id="rId8"/>
    <sheet name="Cross-Backend Summary" sheetId="9" state="visible" r:id="rId9"/>
    <sheet name="Proof Size History" sheetId="10" state="visible" r:id="rId10"/>
    <sheet name="PP2 Aurora (M5 Pro)" sheetId="11" state="visible" r:id="rId11"/>
    <sheet name="Backend Comparison (M5 Pro)" sheetId="12" state="visible" r:id="rId12"/>
    <sheet name="Constraint Scaling (M5 Pro)" sheetId="13" state="visible" r:id="rId13"/>
    <sheet name="Noir Compile (M5 Pro)" sheetId="14" state="visible" r:id="rId14"/>
    <sheet name="Noir vs Hand R1CS (M5 Pro)" sheetId="15" state="visible" r:id="rId15"/>
    <sheet name="Proof Size History (M5 Pro)" sheetId="16" state="visible" r:id="rId16"/>
    <sheet name="B5 Griffin Breakdown (M5 Pro)" sheetId="17" state="visible" r:id="rId17"/>
    <sheet name="Griffin Coarse (M5 Pro)" sheetId="18" state="visible" r:id="rId18"/>
    <sheet name="PP3 Policy (M5 Pro)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#,##0.0"/>
    <numFmt numFmtId="166" formatCode="0.000%"/>
    <numFmt numFmtId="167" formatCode="0.0%"/>
    <numFmt numFmtId="168" formatCode="0.000000"/>
    <numFmt numFmtId="169" formatCode="0.0"/>
  </numFmts>
  <fonts count="13">
    <font>
      <name val="ＭＳ Ｐゴシック"/>
      <family val="2"/>
      <color theme="1"/>
      <sz val="11"/>
      <scheme val="minor"/>
    </font>
    <font>
      <name val="Arial"/>
      <family val="2"/>
      <i val="1"/>
      <color rgb="FF999999"/>
      <sz val="8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rgb="FF1F4E79"/>
      <sz val="12"/>
    </font>
    <font>
      <name val="Arial"/>
      <family val="2"/>
      <b val="1"/>
      <color rgb="FF1F4E79"/>
      <sz val="10"/>
    </font>
    <font>
      <name val="ＭＳ Ｐゴシック"/>
      <charset val="128"/>
      <family val="3"/>
      <sz val="6"/>
      <scheme val="minor"/>
    </font>
    <font>
      <b val="1"/>
    </font>
    <font>
      <i val="1"/>
      <color rgb="00555555"/>
    </font>
    <font>
      <b val="1"/>
      <color rgb="00B22222"/>
    </font>
    <font>
      <b val="1"/>
      <i val="1"/>
      <color rgb="FF444444"/>
    </font>
    <font>
      <i val="1"/>
      <color rgb="FF666666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3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3" fillId="4" borderId="1" pivotButton="0" quotePrefix="0" xfId="0"/>
    <xf numFmtId="3" fontId="3" fillId="4" borderId="1" pivotButton="0" quotePrefix="0" xfId="0"/>
    <xf numFmtId="164" fontId="3" fillId="4" borderId="1" pivotButton="0" quotePrefix="0" xfId="0"/>
    <xf numFmtId="165" fontId="3" fillId="4" borderId="1" pivotButton="0" quotePrefix="0" xfId="0"/>
    <xf numFmtId="0" fontId="4" fillId="5" borderId="1" pivotButton="0" quotePrefix="0" xfId="0"/>
    <xf numFmtId="3" fontId="4" fillId="5" borderId="1" pivotButton="0" quotePrefix="0" xfId="0"/>
    <xf numFmtId="164" fontId="4" fillId="5" borderId="1" pivotButton="0" quotePrefix="0" xfId="0"/>
    <xf numFmtId="166" fontId="3" fillId="3" borderId="1" pivotButton="0" quotePrefix="0" xfId="0"/>
    <xf numFmtId="166" fontId="3" fillId="4" borderId="1" pivotButton="0" quotePrefix="0" xfId="0"/>
    <xf numFmtId="167" fontId="3" fillId="3" borderId="1" pivotButton="0" quotePrefix="0" xfId="0"/>
    <xf numFmtId="167" fontId="3" fillId="4" borderId="1" pivotButton="0" quotePrefix="0" xfId="0"/>
    <xf numFmtId="165" fontId="4" fillId="5" borderId="1" pivotButton="0" quotePrefix="0" xfId="0"/>
    <xf numFmtId="168" fontId="4" fillId="5" borderId="1" pivotButton="0" quotePrefix="0" xfId="0"/>
    <xf numFmtId="0" fontId="4" fillId="3" borderId="1" pivotButton="0" quotePrefix="0" xfId="0"/>
    <xf numFmtId="3" fontId="4" fillId="3" borderId="1" pivotButton="0" quotePrefix="0" xfId="0"/>
    <xf numFmtId="167" fontId="4" fillId="3" borderId="1" pivotButton="0" quotePrefix="0" xfId="0"/>
    <xf numFmtId="167" fontId="4" fillId="5" borderId="1" pivotButton="0" quotePrefix="0" xfId="0"/>
    <xf numFmtId="4" fontId="3" fillId="3" borderId="1" pivotButton="0" quotePrefix="0" xfId="0"/>
    <xf numFmtId="4" fontId="3" fillId="4" borderId="1" pivotButton="0" quotePrefix="0" xfId="0"/>
    <xf numFmtId="169" fontId="3" fillId="4" borderId="1" pivotButton="0" quotePrefix="0" xfId="0"/>
    <xf numFmtId="169" fontId="3" fillId="3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3" fillId="3" borderId="1" pivotButton="0" quotePrefix="0" xfId="0"/>
    <xf numFmtId="165" fontId="3" fillId="3" borderId="1" pivotButton="0" quotePrefix="0" xfId="0"/>
    <xf numFmtId="164" fontId="3" fillId="4" borderId="1" pivotButton="0" quotePrefix="0" xfId="0"/>
    <xf numFmtId="165" fontId="3" fillId="4" borderId="1" pivotButton="0" quotePrefix="0" xfId="0"/>
    <xf numFmtId="164" fontId="4" fillId="5" borderId="1" pivotButton="0" quotePrefix="0" xfId="0"/>
    <xf numFmtId="166" fontId="3" fillId="3" borderId="1" pivotButton="0" quotePrefix="0" xfId="0"/>
    <xf numFmtId="166" fontId="3" fillId="4" borderId="1" pivotButton="0" quotePrefix="0" xfId="0"/>
    <xf numFmtId="0" fontId="8" fillId="0" borderId="0" pivotButton="0" quotePrefix="0" xfId="0"/>
    <xf numFmtId="0" fontId="8" fillId="6" borderId="0" applyAlignment="1" pivotButton="0" quotePrefix="0" xfId="0">
      <alignment horizontal="center"/>
    </xf>
    <xf numFmtId="0" fontId="0" fillId="7" borderId="0" pivotButton="0" quotePrefix="0" xfId="0"/>
    <xf numFmtId="167" fontId="3" fillId="3" borderId="1" pivotButton="0" quotePrefix="0" xfId="0"/>
    <xf numFmtId="167" fontId="3" fillId="4" borderId="1" pivotButton="0" quotePrefix="0" xfId="0"/>
    <xf numFmtId="165" fontId="4" fillId="5" borderId="1" pivotButton="0" quotePrefix="0" xfId="0"/>
    <xf numFmtId="168" fontId="4" fillId="5" borderId="1" pivotButton="0" quotePrefix="0" xfId="0"/>
    <xf numFmtId="167" fontId="4" fillId="3" borderId="1" pivotButton="0" quotePrefix="0" xfId="0"/>
    <xf numFmtId="167" fontId="4" fillId="5" borderId="1" pivotButton="0" quotePrefix="0" xfId="0"/>
    <xf numFmtId="169" fontId="3" fillId="4" borderId="1" pivotButton="0" quotePrefix="0" xfId="0"/>
    <xf numFmtId="169" fontId="3" fillId="3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8" borderId="0" applyAlignment="1" pivotButton="0" quotePrefix="0" xfId="0">
      <alignment horizontal="left"/>
    </xf>
    <xf numFmtId="10" fontId="0" fillId="0" borderId="0" pivotButton="0" quotePrefix="0" xfId="0"/>
    <xf numFmtId="10" fontId="8" fillId="0" borderId="0" pivotButton="0" quotePrefix="0" xfId="0"/>
    <xf numFmtId="0" fontId="12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pane ySplit="2" topLeftCell="A3" activePane="bottomLeft" state="frozen"/>
      <selection pane="bottomLeft" activeCell="A1" sqref="A1:L1"/>
    </sheetView>
  </sheetViews>
  <sheetFormatPr baseColWidth="10" defaultColWidth="8.83203125" defaultRowHeight="14"/>
  <cols>
    <col width="8" customWidth="1" style="28" min="1" max="1"/>
    <col width="6" customWidth="1" style="28" min="2" max="3"/>
    <col width="12" customWidth="1" style="28" min="4" max="4"/>
    <col width="18" customWidth="1" style="28" min="5" max="5"/>
    <col width="12" customWidth="1" style="28" min="6" max="8"/>
    <col width="14" customWidth="1" style="28" min="9" max="9"/>
    <col width="12" customWidth="1" style="28" min="10" max="10"/>
    <col width="16" customWidth="1" style="28" min="11" max="11"/>
    <col width="12" customWidth="1" style="28" min="12" max="12"/>
  </cols>
  <sheetData>
    <row r="1">
      <c r="A1" s="27" t="inlineStr">
        <is>
          <t>Generated: 2026-04-13 21:37</t>
        </is>
      </c>
    </row>
    <row r="2" ht="15" customHeight="1" s="28">
      <c r="A2" s="1" t="inlineStr">
        <is>
          <t>Run#</t>
        </is>
      </c>
      <c r="B2" s="1" t="inlineStr">
        <is>
          <t>k</t>
        </is>
      </c>
      <c r="C2" s="1" t="inlineStr">
        <is>
          <t>m</t>
        </is>
      </c>
      <c r="D2" s="1" t="inlineStr">
        <is>
          <t>rev_depth</t>
        </is>
      </c>
      <c r="E2" s="1" t="inlineStr">
        <is>
          <t>constraint_count</t>
        </is>
      </c>
      <c r="F2" s="1" t="inlineStr">
        <is>
          <t>indexer_s</t>
        </is>
      </c>
      <c r="G2" s="1" t="inlineStr">
        <is>
          <t>prove_s</t>
        </is>
      </c>
      <c r="H2" s="1" t="inlineStr">
        <is>
          <t>verify_s</t>
        </is>
      </c>
      <c r="I2" s="1" t="inlineStr">
        <is>
          <t>proof_bytes</t>
        </is>
      </c>
      <c r="J2" s="1" t="inlineStr">
        <is>
          <t>proof_KiB</t>
        </is>
      </c>
      <c r="K2" s="1" t="inlineStr">
        <is>
          <t>signature_bytes</t>
        </is>
      </c>
      <c r="L2" s="1" t="inlineStr">
        <is>
          <t>aurora_ok</t>
        </is>
      </c>
    </row>
    <row r="3">
      <c r="A3" s="2" t="n">
        <v>1</v>
      </c>
      <c r="B3" s="2" t="n"/>
      <c r="C3" s="2" t="n"/>
      <c r="D3" s="2" t="n"/>
      <c r="E3" s="3" t="n"/>
      <c r="F3" s="31" t="n"/>
      <c r="G3" s="31" t="n"/>
      <c r="H3" s="31" t="n"/>
      <c r="I3" s="3" t="n"/>
      <c r="J3" s="32">
        <f>I3/1024</f>
        <v/>
      </c>
      <c r="K3" s="3" t="n"/>
      <c r="L3" s="2" t="n"/>
    </row>
    <row r="4">
      <c r="A4" s="6" t="n">
        <v>2</v>
      </c>
      <c r="B4" s="6" t="n"/>
      <c r="C4" s="6" t="n"/>
      <c r="D4" s="6" t="n"/>
      <c r="E4" s="7" t="n"/>
      <c r="F4" s="33" t="n"/>
      <c r="G4" s="33" t="n"/>
      <c r="H4" s="33" t="n"/>
      <c r="I4" s="7" t="n"/>
      <c r="J4" s="34">
        <f>I4/1024</f>
        <v/>
      </c>
      <c r="K4" s="7" t="n"/>
      <c r="L4" s="6" t="n"/>
    </row>
    <row r="5">
      <c r="A5" s="2" t="n">
        <v>3</v>
      </c>
      <c r="B5" s="2" t="n"/>
      <c r="C5" s="2" t="n"/>
      <c r="D5" s="2" t="n"/>
      <c r="E5" s="3" t="n"/>
      <c r="F5" s="31" t="n"/>
      <c r="G5" s="31" t="n"/>
      <c r="H5" s="31" t="n"/>
      <c r="I5" s="3" t="n"/>
      <c r="J5" s="32">
        <f>I5/1024</f>
        <v/>
      </c>
      <c r="K5" s="3" t="n"/>
      <c r="L5" s="2" t="n"/>
    </row>
    <row r="6">
      <c r="A6" s="6" t="n">
        <v>4</v>
      </c>
      <c r="B6" s="6" t="n"/>
      <c r="C6" s="6" t="n"/>
      <c r="D6" s="6" t="n"/>
      <c r="E6" s="7" t="n"/>
      <c r="F6" s="33" t="n"/>
      <c r="G6" s="33" t="n"/>
      <c r="H6" s="33" t="n"/>
      <c r="I6" s="7" t="n"/>
      <c r="J6" s="34">
        <f>I6/1024</f>
        <v/>
      </c>
      <c r="K6" s="7" t="n"/>
      <c r="L6" s="6" t="n"/>
    </row>
    <row r="7">
      <c r="A7" s="2" t="n">
        <v>5</v>
      </c>
      <c r="B7" s="2" t="n"/>
      <c r="C7" s="2" t="n"/>
      <c r="D7" s="2" t="n"/>
      <c r="E7" s="3" t="n"/>
      <c r="F7" s="31" t="n"/>
      <c r="G7" s="31" t="n"/>
      <c r="H7" s="31" t="n"/>
      <c r="I7" s="3" t="n"/>
      <c r="J7" s="32">
        <f>I7/1024</f>
        <v/>
      </c>
      <c r="K7" s="3" t="n"/>
      <c r="L7" s="2" t="n"/>
    </row>
    <row r="8">
      <c r="A8" s="6" t="n">
        <v>6</v>
      </c>
      <c r="B8" s="6" t="n"/>
      <c r="C8" s="6" t="n"/>
      <c r="D8" s="6" t="n"/>
      <c r="E8" s="7" t="n"/>
      <c r="F8" s="33" t="n"/>
      <c r="G8" s="33" t="n"/>
      <c r="H8" s="33" t="n"/>
      <c r="I8" s="7" t="n"/>
      <c r="J8" s="34">
        <f>I8/1024</f>
        <v/>
      </c>
      <c r="K8" s="7" t="n"/>
      <c r="L8" s="6" t="n"/>
    </row>
    <row r="9">
      <c r="A9" s="2" t="n">
        <v>7</v>
      </c>
      <c r="B9" s="2" t="n"/>
      <c r="C9" s="2" t="n"/>
      <c r="D9" s="2" t="n"/>
      <c r="E9" s="3" t="n"/>
      <c r="F9" s="31" t="n"/>
      <c r="G9" s="31" t="n"/>
      <c r="H9" s="31" t="n"/>
      <c r="I9" s="3" t="n"/>
      <c r="J9" s="32">
        <f>I9/1024</f>
        <v/>
      </c>
      <c r="K9" s="3" t="n"/>
      <c r="L9" s="2" t="n"/>
    </row>
    <row r="10">
      <c r="A10" s="6" t="n">
        <v>8</v>
      </c>
      <c r="B10" s="6" t="n"/>
      <c r="C10" s="6" t="n"/>
      <c r="D10" s="6" t="n"/>
      <c r="E10" s="7" t="n"/>
      <c r="F10" s="33" t="n"/>
      <c r="G10" s="33" t="n"/>
      <c r="H10" s="33" t="n"/>
      <c r="I10" s="7" t="n"/>
      <c r="J10" s="34">
        <f>I10/1024</f>
        <v/>
      </c>
      <c r="K10" s="7" t="n"/>
      <c r="L10" s="6" t="n"/>
    </row>
    <row r="11">
      <c r="A11" s="2" t="n">
        <v>9</v>
      </c>
      <c r="B11" s="2" t="n"/>
      <c r="C11" s="2" t="n"/>
      <c r="D11" s="2" t="n"/>
      <c r="E11" s="3" t="n"/>
      <c r="F11" s="31" t="n"/>
      <c r="G11" s="31" t="n"/>
      <c r="H11" s="31" t="n"/>
      <c r="I11" s="3" t="n"/>
      <c r="J11" s="32">
        <f>I11/1024</f>
        <v/>
      </c>
      <c r="K11" s="3" t="n"/>
      <c r="L11" s="2" t="n"/>
    </row>
    <row r="12">
      <c r="A12" s="6" t="n">
        <v>10</v>
      </c>
      <c r="B12" s="6" t="n"/>
      <c r="C12" s="6" t="n"/>
      <c r="D12" s="6" t="n"/>
      <c r="E12" s="7" t="n"/>
      <c r="F12" s="33" t="n"/>
      <c r="G12" s="33" t="n"/>
      <c r="H12" s="33" t="n"/>
      <c r="I12" s="7" t="n"/>
      <c r="J12" s="34">
        <f>I12/1024</f>
        <v/>
      </c>
      <c r="K12" s="7" t="n"/>
      <c r="L12" s="6" t="n"/>
    </row>
    <row r="14">
      <c r="A14" s="10" t="inlineStr">
        <is>
          <t>MEAN</t>
        </is>
      </c>
      <c r="B14" s="10" t="n"/>
      <c r="C14" s="10" t="n"/>
      <c r="D14" s="10" t="n"/>
      <c r="E14" s="11">
        <f>AVERAGE(E3:E12)</f>
        <v/>
      </c>
      <c r="F14" s="35">
        <f>AVERAGE(F3:F12)</f>
        <v/>
      </c>
      <c r="G14" s="35">
        <f>AVERAGE(G3:G12)</f>
        <v/>
      </c>
      <c r="H14" s="35">
        <f>AVERAGE(H3:H12)</f>
        <v/>
      </c>
      <c r="I14" s="11">
        <f>AVERAGE(I3:I12)</f>
        <v/>
      </c>
      <c r="J14" s="35">
        <f>AVERAGE(J3:J12)</f>
        <v/>
      </c>
      <c r="K14" s="11">
        <f>AVERAGE(K3:K12)</f>
        <v/>
      </c>
      <c r="L14" s="10" t="n"/>
    </row>
    <row r="15">
      <c r="A15" s="10" t="inlineStr">
        <is>
          <t>STDEV</t>
        </is>
      </c>
      <c r="B15" s="10" t="n"/>
      <c r="C15" s="10" t="n"/>
      <c r="D15" s="10" t="n"/>
      <c r="E15" s="11">
        <f>STDEV(E3:E12)</f>
        <v/>
      </c>
      <c r="F15" s="35">
        <f>STDEV(F3:F12)</f>
        <v/>
      </c>
      <c r="G15" s="35">
        <f>STDEV(G3:G12)</f>
        <v/>
      </c>
      <c r="H15" s="35">
        <f>STDEV(H3:H12)</f>
        <v/>
      </c>
      <c r="I15" s="11">
        <f>STDEV(I3:I12)</f>
        <v/>
      </c>
      <c r="J15" s="35">
        <f>STDEV(J3:J12)</f>
        <v/>
      </c>
      <c r="K15" s="11">
        <f>STDEV(K3:K12)</f>
        <v/>
      </c>
      <c r="L15" s="10" t="n"/>
    </row>
    <row r="16">
      <c r="A16" s="10" t="inlineStr">
        <is>
          <t>MIN</t>
        </is>
      </c>
      <c r="B16" s="10" t="n"/>
      <c r="C16" s="10" t="n"/>
      <c r="D16" s="10" t="n"/>
      <c r="E16" s="11">
        <f>MIN(E3:E12)</f>
        <v/>
      </c>
      <c r="F16" s="35">
        <f>MIN(F3:F12)</f>
        <v/>
      </c>
      <c r="G16" s="35">
        <f>MIN(G3:G12)</f>
        <v/>
      </c>
      <c r="H16" s="35">
        <f>MIN(H3:H12)</f>
        <v/>
      </c>
      <c r="I16" s="11">
        <f>MIN(I3:I12)</f>
        <v/>
      </c>
      <c r="J16" s="35">
        <f>MIN(J3:J12)</f>
        <v/>
      </c>
      <c r="K16" s="11">
        <f>MIN(K3:K12)</f>
        <v/>
      </c>
      <c r="L16" s="10" t="n"/>
    </row>
    <row r="17">
      <c r="A17" s="10" t="inlineStr">
        <is>
          <t>MAX</t>
        </is>
      </c>
      <c r="B17" s="10" t="n"/>
      <c r="C17" s="10" t="n"/>
      <c r="D17" s="10" t="n"/>
      <c r="E17" s="11">
        <f>MAX(E3:E12)</f>
        <v/>
      </c>
      <c r="F17" s="35">
        <f>MAX(F3:F12)</f>
        <v/>
      </c>
      <c r="G17" s="35">
        <f>MAX(G3:G12)</f>
        <v/>
      </c>
      <c r="H17" s="35">
        <f>MAX(H3:H12)</f>
        <v/>
      </c>
      <c r="I17" s="11">
        <f>MAX(I3:I12)</f>
        <v/>
      </c>
      <c r="J17" s="35">
        <f>MAX(J3:J12)</f>
        <v/>
      </c>
      <c r="K17" s="11">
        <f>MAX(K3:K12)</f>
        <v/>
      </c>
      <c r="L17" s="10" t="n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4"/>
  <cols>
    <col width="8" customWidth="1" style="28" min="1" max="1"/>
    <col width="6" customWidth="1" style="28" min="2" max="2"/>
    <col width="16" customWidth="1" style="28" min="3" max="3"/>
    <col width="18" customWidth="1" style="28" min="4" max="4"/>
    <col width="12" customWidth="1" style="28" min="5" max="6"/>
    <col width="14" customWidth="1" style="28" min="7" max="7"/>
    <col width="12" customWidth="1" style="28" min="8" max="8"/>
    <col width="22" customWidth="1" style="28" min="9" max="9"/>
    <col width="20" customWidth="1" style="28" min="10" max="10"/>
  </cols>
  <sheetData>
    <row r="1">
      <c r="A1" s="27" t="inlineStr">
        <is>
          <t>Generated: 2026-04-13 21:37</t>
        </is>
      </c>
    </row>
    <row r="2" ht="15" customHeight="1" s="28">
      <c r="A2" s="1" t="inlineStr">
        <is>
          <t>Run#</t>
        </is>
      </c>
      <c r="B2" s="1" t="inlineStr">
        <is>
          <t>k</t>
        </is>
      </c>
      <c r="C2" s="1" t="inlineStr">
        <is>
          <t>policy_type</t>
        </is>
      </c>
      <c r="D2" s="1" t="inlineStr">
        <is>
          <t>constraint_count</t>
        </is>
      </c>
      <c r="E2" s="1" t="inlineStr">
        <is>
          <t>prove_s</t>
        </is>
      </c>
      <c r="F2" s="1" t="inlineStr">
        <is>
          <t>verify_s</t>
        </is>
      </c>
      <c r="G2" s="1" t="inlineStr">
        <is>
          <t>proof_bytes</t>
        </is>
      </c>
      <c r="H2" s="1" t="inlineStr">
        <is>
          <t>proof_KiB</t>
        </is>
      </c>
      <c r="I2" s="1" t="inlineStr">
        <is>
          <t>policy_constraint_delta</t>
        </is>
      </c>
      <c r="J2" s="1" t="inlineStr">
        <is>
          <t>policy_overhead_pct</t>
        </is>
      </c>
    </row>
    <row r="3">
      <c r="A3" s="2" t="n">
        <v>1</v>
      </c>
      <c r="B3" s="2" t="n">
        <v>1</v>
      </c>
      <c r="C3" s="2" t="inlineStr">
        <is>
          <t>none</t>
        </is>
      </c>
      <c r="D3" s="3" t="n"/>
      <c r="E3" s="31" t="n"/>
      <c r="F3" s="31" t="n"/>
      <c r="G3" s="3" t="n"/>
      <c r="H3" s="2">
        <f>G3/1024</f>
        <v/>
      </c>
      <c r="I3" s="3" t="n"/>
      <c r="J3" s="2" t="n"/>
    </row>
    <row r="4">
      <c r="A4" s="6" t="n">
        <v>2</v>
      </c>
      <c r="B4" s="6" t="n">
        <v>1</v>
      </c>
      <c r="C4" s="6" t="inlineStr">
        <is>
          <t>none</t>
        </is>
      </c>
      <c r="D4" s="7" t="n"/>
      <c r="E4" s="33" t="n"/>
      <c r="F4" s="33" t="n"/>
      <c r="G4" s="7" t="n"/>
      <c r="H4" s="6">
        <f>G4/1024</f>
        <v/>
      </c>
      <c r="I4" s="7" t="n"/>
      <c r="J4" s="6" t="n"/>
    </row>
    <row r="5">
      <c r="A5" s="2" t="n">
        <v>3</v>
      </c>
      <c r="B5" s="2" t="n">
        <v>1</v>
      </c>
      <c r="C5" s="2" t="inlineStr">
        <is>
          <t>none</t>
        </is>
      </c>
      <c r="D5" s="3" t="n"/>
      <c r="E5" s="31" t="n"/>
      <c r="F5" s="31" t="n"/>
      <c r="G5" s="3" t="n"/>
      <c r="H5" s="2">
        <f>G5/1024</f>
        <v/>
      </c>
      <c r="I5" s="3" t="n"/>
      <c r="J5" s="2" t="n"/>
    </row>
    <row r="6">
      <c r="A6" s="6" t="n">
        <v>4</v>
      </c>
      <c r="B6" s="6" t="n">
        <v>1</v>
      </c>
      <c r="C6" s="6" t="inlineStr">
        <is>
          <t>none</t>
        </is>
      </c>
      <c r="D6" s="7" t="n"/>
      <c r="E6" s="33" t="n"/>
      <c r="F6" s="33" t="n"/>
      <c r="G6" s="7" t="n"/>
      <c r="H6" s="6">
        <f>G6/1024</f>
        <v/>
      </c>
      <c r="I6" s="7" t="n"/>
      <c r="J6" s="6" t="n"/>
    </row>
    <row r="7">
      <c r="A7" s="2" t="n">
        <v>5</v>
      </c>
      <c r="B7" s="2" t="n">
        <v>1</v>
      </c>
      <c r="C7" s="2" t="inlineStr">
        <is>
          <t>none</t>
        </is>
      </c>
      <c r="D7" s="3" t="n"/>
      <c r="E7" s="31" t="n"/>
      <c r="F7" s="31" t="n"/>
      <c r="G7" s="3" t="n"/>
      <c r="H7" s="2">
        <f>G7/1024</f>
        <v/>
      </c>
      <c r="I7" s="3" t="n"/>
      <c r="J7" s="2" t="n"/>
    </row>
    <row r="8">
      <c r="A8" s="6" t="n">
        <v>6</v>
      </c>
      <c r="B8" s="6" t="n">
        <v>1</v>
      </c>
      <c r="C8" s="6" t="inlineStr">
        <is>
          <t>none</t>
        </is>
      </c>
      <c r="D8" s="7" t="n"/>
      <c r="E8" s="33" t="n"/>
      <c r="F8" s="33" t="n"/>
      <c r="G8" s="7" t="n"/>
      <c r="H8" s="6">
        <f>G8/1024</f>
        <v/>
      </c>
      <c r="I8" s="7" t="n"/>
      <c r="J8" s="6" t="n"/>
    </row>
    <row r="9">
      <c r="A9" s="2" t="n">
        <v>7</v>
      </c>
      <c r="B9" s="2" t="n">
        <v>1</v>
      </c>
      <c r="C9" s="2" t="inlineStr">
        <is>
          <t>none</t>
        </is>
      </c>
      <c r="D9" s="3" t="n"/>
      <c r="E9" s="31" t="n"/>
      <c r="F9" s="31" t="n"/>
      <c r="G9" s="3" t="n"/>
      <c r="H9" s="2">
        <f>G9/1024</f>
        <v/>
      </c>
      <c r="I9" s="3" t="n"/>
      <c r="J9" s="2" t="n"/>
    </row>
    <row r="10">
      <c r="A10" s="6" t="n">
        <v>8</v>
      </c>
      <c r="B10" s="6" t="n">
        <v>1</v>
      </c>
      <c r="C10" s="6" t="inlineStr">
        <is>
          <t>none</t>
        </is>
      </c>
      <c r="D10" s="7" t="n"/>
      <c r="E10" s="33" t="n"/>
      <c r="F10" s="33" t="n"/>
      <c r="G10" s="7" t="n"/>
      <c r="H10" s="6">
        <f>G10/1024</f>
        <v/>
      </c>
      <c r="I10" s="7" t="n"/>
      <c r="J10" s="6" t="n"/>
    </row>
    <row r="11">
      <c r="A11" s="2" t="n">
        <v>9</v>
      </c>
      <c r="B11" s="2" t="n">
        <v>1</v>
      </c>
      <c r="C11" s="2" t="inlineStr">
        <is>
          <t>none</t>
        </is>
      </c>
      <c r="D11" s="3" t="n"/>
      <c r="E11" s="31" t="n"/>
      <c r="F11" s="31" t="n"/>
      <c r="G11" s="3" t="n"/>
      <c r="H11" s="2">
        <f>G11/1024</f>
        <v/>
      </c>
      <c r="I11" s="3" t="n"/>
      <c r="J11" s="2" t="n"/>
    </row>
    <row r="12">
      <c r="A12" s="6" t="n">
        <v>10</v>
      </c>
      <c r="B12" s="6" t="n">
        <v>1</v>
      </c>
      <c r="C12" s="6" t="inlineStr">
        <is>
          <t>none</t>
        </is>
      </c>
      <c r="D12" s="7" t="n"/>
      <c r="E12" s="33" t="n"/>
      <c r="F12" s="33" t="n"/>
      <c r="G12" s="7" t="n"/>
      <c r="H12" s="6">
        <f>G12/1024</f>
        <v/>
      </c>
      <c r="I12" s="7" t="n"/>
      <c r="J12" s="6" t="n"/>
    </row>
    <row r="13">
      <c r="A13" s="2" t="n">
        <v>1</v>
      </c>
      <c r="B13" s="2" t="n">
        <v>1</v>
      </c>
      <c r="C13" s="2" t="inlineStr">
        <is>
          <t>gpa</t>
        </is>
      </c>
      <c r="D13" s="3" t="n"/>
      <c r="E13" s="31" t="n"/>
      <c r="F13" s="31" t="n"/>
      <c r="G13" s="3" t="n"/>
      <c r="H13" s="2">
        <f>G13/1024</f>
        <v/>
      </c>
      <c r="I13" s="3">
        <f>D13-AVERAGEIF($C$3:$C$32,"none",$D$3:$D$32)</f>
        <v/>
      </c>
      <c r="J13" s="36">
        <f>I13/AVERAGEIF($C$3:$C$32,"none",$D$3:$D$32)</f>
        <v/>
      </c>
    </row>
    <row r="14">
      <c r="A14" s="6" t="n">
        <v>2</v>
      </c>
      <c r="B14" s="6" t="n">
        <v>1</v>
      </c>
      <c r="C14" s="6" t="inlineStr">
        <is>
          <t>gpa</t>
        </is>
      </c>
      <c r="D14" s="7" t="n"/>
      <c r="E14" s="33" t="n"/>
      <c r="F14" s="33" t="n"/>
      <c r="G14" s="7" t="n"/>
      <c r="H14" s="6">
        <f>G14/1024</f>
        <v/>
      </c>
      <c r="I14" s="7">
        <f>D14-AVERAGEIF($C$3:$C$32,"none",$D$3:$D$32)</f>
        <v/>
      </c>
      <c r="J14" s="37">
        <f>I14/AVERAGEIF($C$3:$C$32,"none",$D$3:$D$32)</f>
        <v/>
      </c>
    </row>
    <row r="15">
      <c r="A15" s="2" t="n">
        <v>3</v>
      </c>
      <c r="B15" s="2" t="n">
        <v>1</v>
      </c>
      <c r="C15" s="2" t="inlineStr">
        <is>
          <t>gpa</t>
        </is>
      </c>
      <c r="D15" s="3" t="n"/>
      <c r="E15" s="31" t="n"/>
      <c r="F15" s="31" t="n"/>
      <c r="G15" s="3" t="n"/>
      <c r="H15" s="2">
        <f>G15/1024</f>
        <v/>
      </c>
      <c r="I15" s="3">
        <f>D15-AVERAGEIF($C$3:$C$32,"none",$D$3:$D$32)</f>
        <v/>
      </c>
      <c r="J15" s="36">
        <f>I15/AVERAGEIF($C$3:$C$32,"none",$D$3:$D$32)</f>
        <v/>
      </c>
    </row>
    <row r="16">
      <c r="A16" s="6" t="n">
        <v>4</v>
      </c>
      <c r="B16" s="6" t="n">
        <v>1</v>
      </c>
      <c r="C16" s="6" t="inlineStr">
        <is>
          <t>gpa</t>
        </is>
      </c>
      <c r="D16" s="7" t="n"/>
      <c r="E16" s="33" t="n"/>
      <c r="F16" s="33" t="n"/>
      <c r="G16" s="7" t="n"/>
      <c r="H16" s="6">
        <f>G16/1024</f>
        <v/>
      </c>
      <c r="I16" s="7">
        <f>D16-AVERAGEIF($C$3:$C$32,"none",$D$3:$D$32)</f>
        <v/>
      </c>
      <c r="J16" s="37">
        <f>I16/AVERAGEIF($C$3:$C$32,"none",$D$3:$D$32)</f>
        <v/>
      </c>
    </row>
    <row r="17">
      <c r="A17" s="2" t="n">
        <v>5</v>
      </c>
      <c r="B17" s="2" t="n">
        <v>1</v>
      </c>
      <c r="C17" s="2" t="inlineStr">
        <is>
          <t>gpa</t>
        </is>
      </c>
      <c r="D17" s="3" t="n"/>
      <c r="E17" s="31" t="n"/>
      <c r="F17" s="31" t="n"/>
      <c r="G17" s="3" t="n"/>
      <c r="H17" s="2">
        <f>G17/1024</f>
        <v/>
      </c>
      <c r="I17" s="3">
        <f>D17-AVERAGEIF($C$3:$C$32,"none",$D$3:$D$32)</f>
        <v/>
      </c>
      <c r="J17" s="36">
        <f>I17/AVERAGEIF($C$3:$C$32,"none",$D$3:$D$32)</f>
        <v/>
      </c>
    </row>
    <row r="18">
      <c r="A18" s="6" t="n">
        <v>6</v>
      </c>
      <c r="B18" s="6" t="n">
        <v>1</v>
      </c>
      <c r="C18" s="6" t="inlineStr">
        <is>
          <t>gpa</t>
        </is>
      </c>
      <c r="D18" s="7" t="n"/>
      <c r="E18" s="33" t="n"/>
      <c r="F18" s="33" t="n"/>
      <c r="G18" s="7" t="n"/>
      <c r="H18" s="6">
        <f>G18/1024</f>
        <v/>
      </c>
      <c r="I18" s="7">
        <f>D18-AVERAGEIF($C$3:$C$32,"none",$D$3:$D$32)</f>
        <v/>
      </c>
      <c r="J18" s="37">
        <f>I18/AVERAGEIF($C$3:$C$32,"none",$D$3:$D$32)</f>
        <v/>
      </c>
    </row>
    <row r="19">
      <c r="A19" s="2" t="n">
        <v>7</v>
      </c>
      <c r="B19" s="2" t="n">
        <v>1</v>
      </c>
      <c r="C19" s="2" t="inlineStr">
        <is>
          <t>gpa</t>
        </is>
      </c>
      <c r="D19" s="3" t="n"/>
      <c r="E19" s="31" t="n"/>
      <c r="F19" s="31" t="n"/>
      <c r="G19" s="3" t="n"/>
      <c r="H19" s="2">
        <f>G19/1024</f>
        <v/>
      </c>
      <c r="I19" s="3">
        <f>D19-AVERAGEIF($C$3:$C$32,"none",$D$3:$D$32)</f>
        <v/>
      </c>
      <c r="J19" s="36">
        <f>I19/AVERAGEIF($C$3:$C$32,"none",$D$3:$D$32)</f>
        <v/>
      </c>
    </row>
    <row r="20">
      <c r="A20" s="6" t="n">
        <v>8</v>
      </c>
      <c r="B20" s="6" t="n">
        <v>1</v>
      </c>
      <c r="C20" s="6" t="inlineStr">
        <is>
          <t>gpa</t>
        </is>
      </c>
      <c r="D20" s="7" t="n"/>
      <c r="E20" s="33" t="n"/>
      <c r="F20" s="33" t="n"/>
      <c r="G20" s="7" t="n"/>
      <c r="H20" s="6">
        <f>G20/1024</f>
        <v/>
      </c>
      <c r="I20" s="7">
        <f>D20-AVERAGEIF($C$3:$C$32,"none",$D$3:$D$32)</f>
        <v/>
      </c>
      <c r="J20" s="37">
        <f>I20/AVERAGEIF($C$3:$C$32,"none",$D$3:$D$32)</f>
        <v/>
      </c>
    </row>
    <row r="21">
      <c r="A21" s="2" t="n">
        <v>9</v>
      </c>
      <c r="B21" s="2" t="n">
        <v>1</v>
      </c>
      <c r="C21" s="2" t="inlineStr">
        <is>
          <t>gpa</t>
        </is>
      </c>
      <c r="D21" s="3" t="n"/>
      <c r="E21" s="31" t="n"/>
      <c r="F21" s="31" t="n"/>
      <c r="G21" s="3" t="n"/>
      <c r="H21" s="2">
        <f>G21/1024</f>
        <v/>
      </c>
      <c r="I21" s="3">
        <f>D21-AVERAGEIF($C$3:$C$32,"none",$D$3:$D$32)</f>
        <v/>
      </c>
      <c r="J21" s="36">
        <f>I21/AVERAGEIF($C$3:$C$32,"none",$D$3:$D$32)</f>
        <v/>
      </c>
    </row>
    <row r="22">
      <c r="A22" s="6" t="n">
        <v>10</v>
      </c>
      <c r="B22" s="6" t="n">
        <v>1</v>
      </c>
      <c r="C22" s="6" t="inlineStr">
        <is>
          <t>gpa</t>
        </is>
      </c>
      <c r="D22" s="7" t="n"/>
      <c r="E22" s="33" t="n"/>
      <c r="F22" s="33" t="n"/>
      <c r="G22" s="7" t="n"/>
      <c r="H22" s="6">
        <f>G22/1024</f>
        <v/>
      </c>
      <c r="I22" s="7">
        <f>D22-AVERAGEIF($C$3:$C$32,"none",$D$3:$D$32)</f>
        <v/>
      </c>
      <c r="J22" s="37">
        <f>I22/AVERAGEIF($C$3:$C$32,"none",$D$3:$D$32)</f>
        <v/>
      </c>
    </row>
    <row r="23">
      <c r="A23" s="2" t="n">
        <v>1</v>
      </c>
      <c r="B23" s="2" t="n">
        <v>1</v>
      </c>
      <c r="C23" s="2" t="inlineStr">
        <is>
          <t>gpa_degree</t>
        </is>
      </c>
      <c r="D23" s="3" t="n"/>
      <c r="E23" s="31" t="n"/>
      <c r="F23" s="31" t="n"/>
      <c r="G23" s="3" t="n"/>
      <c r="H23" s="2">
        <f>G23/1024</f>
        <v/>
      </c>
      <c r="I23" s="3">
        <f>D23-AVERAGEIF($C$3:$C$32,"none",$D$3:$D$32)</f>
        <v/>
      </c>
      <c r="J23" s="36">
        <f>I23/AVERAGEIF($C$3:$C$32,"none",$D$3:$D$32)</f>
        <v/>
      </c>
    </row>
    <row r="24">
      <c r="A24" s="6" t="n">
        <v>2</v>
      </c>
      <c r="B24" s="6" t="n">
        <v>1</v>
      </c>
      <c r="C24" s="6" t="inlineStr">
        <is>
          <t>gpa_degree</t>
        </is>
      </c>
      <c r="D24" s="7" t="n"/>
      <c r="E24" s="33" t="n"/>
      <c r="F24" s="33" t="n"/>
      <c r="G24" s="7" t="n"/>
      <c r="H24" s="6">
        <f>G24/1024</f>
        <v/>
      </c>
      <c r="I24" s="7">
        <f>D24-AVERAGEIF($C$3:$C$32,"none",$D$3:$D$32)</f>
        <v/>
      </c>
      <c r="J24" s="37">
        <f>I24/AVERAGEIF($C$3:$C$32,"none",$D$3:$D$32)</f>
        <v/>
      </c>
    </row>
    <row r="25">
      <c r="A25" s="2" t="n">
        <v>3</v>
      </c>
      <c r="B25" s="2" t="n">
        <v>1</v>
      </c>
      <c r="C25" s="2" t="inlineStr">
        <is>
          <t>gpa_degree</t>
        </is>
      </c>
      <c r="D25" s="3" t="n"/>
      <c r="E25" s="31" t="n"/>
      <c r="F25" s="31" t="n"/>
      <c r="G25" s="3" t="n"/>
      <c r="H25" s="2">
        <f>G25/1024</f>
        <v/>
      </c>
      <c r="I25" s="3">
        <f>D25-AVERAGEIF($C$3:$C$32,"none",$D$3:$D$32)</f>
        <v/>
      </c>
      <c r="J25" s="36">
        <f>I25/AVERAGEIF($C$3:$C$32,"none",$D$3:$D$32)</f>
        <v/>
      </c>
    </row>
    <row r="26">
      <c r="A26" s="6" t="n">
        <v>4</v>
      </c>
      <c r="B26" s="6" t="n">
        <v>1</v>
      </c>
      <c r="C26" s="6" t="inlineStr">
        <is>
          <t>gpa_degree</t>
        </is>
      </c>
      <c r="D26" s="7" t="n"/>
      <c r="E26" s="33" t="n"/>
      <c r="F26" s="33" t="n"/>
      <c r="G26" s="7" t="n"/>
      <c r="H26" s="6">
        <f>G26/1024</f>
        <v/>
      </c>
      <c r="I26" s="7">
        <f>D26-AVERAGEIF($C$3:$C$32,"none",$D$3:$D$32)</f>
        <v/>
      </c>
      <c r="J26" s="37">
        <f>I26/AVERAGEIF($C$3:$C$32,"none",$D$3:$D$32)</f>
        <v/>
      </c>
    </row>
    <row r="27">
      <c r="A27" s="2" t="n">
        <v>5</v>
      </c>
      <c r="B27" s="2" t="n">
        <v>1</v>
      </c>
      <c r="C27" s="2" t="inlineStr">
        <is>
          <t>gpa_degree</t>
        </is>
      </c>
      <c r="D27" s="3" t="n"/>
      <c r="E27" s="31" t="n"/>
      <c r="F27" s="31" t="n"/>
      <c r="G27" s="3" t="n"/>
      <c r="H27" s="2">
        <f>G27/1024</f>
        <v/>
      </c>
      <c r="I27" s="3">
        <f>D27-AVERAGEIF($C$3:$C$32,"none",$D$3:$D$32)</f>
        <v/>
      </c>
      <c r="J27" s="36">
        <f>I27/AVERAGEIF($C$3:$C$32,"none",$D$3:$D$32)</f>
        <v/>
      </c>
    </row>
    <row r="28">
      <c r="A28" s="6" t="n">
        <v>6</v>
      </c>
      <c r="B28" s="6" t="n">
        <v>1</v>
      </c>
      <c r="C28" s="6" t="inlineStr">
        <is>
          <t>gpa_degree</t>
        </is>
      </c>
      <c r="D28" s="7" t="n"/>
      <c r="E28" s="33" t="n"/>
      <c r="F28" s="33" t="n"/>
      <c r="G28" s="7" t="n"/>
      <c r="H28" s="6">
        <f>G28/1024</f>
        <v/>
      </c>
      <c r="I28" s="7">
        <f>D28-AVERAGEIF($C$3:$C$32,"none",$D$3:$D$32)</f>
        <v/>
      </c>
      <c r="J28" s="37">
        <f>I28/AVERAGEIF($C$3:$C$32,"none",$D$3:$D$32)</f>
        <v/>
      </c>
    </row>
    <row r="29">
      <c r="A29" s="2" t="n">
        <v>7</v>
      </c>
      <c r="B29" s="2" t="n">
        <v>1</v>
      </c>
      <c r="C29" s="2" t="inlineStr">
        <is>
          <t>gpa_degree</t>
        </is>
      </c>
      <c r="D29" s="3" t="n"/>
      <c r="E29" s="31" t="n"/>
      <c r="F29" s="31" t="n"/>
      <c r="G29" s="3" t="n"/>
      <c r="H29" s="2">
        <f>G29/1024</f>
        <v/>
      </c>
      <c r="I29" s="3">
        <f>D29-AVERAGEIF($C$3:$C$32,"none",$D$3:$D$32)</f>
        <v/>
      </c>
      <c r="J29" s="36">
        <f>I29/AVERAGEIF($C$3:$C$32,"none",$D$3:$D$32)</f>
        <v/>
      </c>
    </row>
    <row r="30">
      <c r="A30" s="6" t="n">
        <v>8</v>
      </c>
      <c r="B30" s="6" t="n">
        <v>1</v>
      </c>
      <c r="C30" s="6" t="inlineStr">
        <is>
          <t>gpa_degree</t>
        </is>
      </c>
      <c r="D30" s="7" t="n"/>
      <c r="E30" s="33" t="n"/>
      <c r="F30" s="33" t="n"/>
      <c r="G30" s="7" t="n"/>
      <c r="H30" s="6">
        <f>G30/1024</f>
        <v/>
      </c>
      <c r="I30" s="7">
        <f>D30-AVERAGEIF($C$3:$C$32,"none",$D$3:$D$32)</f>
        <v/>
      </c>
      <c r="J30" s="37">
        <f>I30/AVERAGEIF($C$3:$C$32,"none",$D$3:$D$32)</f>
        <v/>
      </c>
    </row>
    <row r="31">
      <c r="A31" s="2" t="n">
        <v>9</v>
      </c>
      <c r="B31" s="2" t="n">
        <v>1</v>
      </c>
      <c r="C31" s="2" t="inlineStr">
        <is>
          <t>gpa_degree</t>
        </is>
      </c>
      <c r="D31" s="3" t="n"/>
      <c r="E31" s="31" t="n"/>
      <c r="F31" s="31" t="n"/>
      <c r="G31" s="3" t="n"/>
      <c r="H31" s="2">
        <f>G31/1024</f>
        <v/>
      </c>
      <c r="I31" s="3">
        <f>D31-AVERAGEIF($C$3:$C$32,"none",$D$3:$D$32)</f>
        <v/>
      </c>
      <c r="J31" s="36">
        <f>I31/AVERAGEIF($C$3:$C$32,"none",$D$3:$D$32)</f>
        <v/>
      </c>
    </row>
    <row r="32">
      <c r="A32" s="6" t="n">
        <v>10</v>
      </c>
      <c r="B32" s="6" t="n">
        <v>1</v>
      </c>
      <c r="C32" s="6" t="inlineStr">
        <is>
          <t>gpa_degree</t>
        </is>
      </c>
      <c r="D32" s="7" t="n"/>
      <c r="E32" s="33" t="n"/>
      <c r="F32" s="33" t="n"/>
      <c r="G32" s="7" t="n"/>
      <c r="H32" s="6">
        <f>G32/1024</f>
        <v/>
      </c>
      <c r="I32" s="7">
        <f>D32-AVERAGEIF($C$3:$C$32,"none",$D$3:$D$32)</f>
        <v/>
      </c>
      <c r="J32" s="37">
        <f>I32/AVERAGEIF($C$3:$C$32,"none",$D$3:$D$32)</f>
        <v/>
      </c>
    </row>
    <row r="33">
      <c r="A33" s="10" t="inlineStr">
        <is>
          <t>MEAN (none)</t>
        </is>
      </c>
      <c r="B33" s="10" t="n"/>
      <c r="C33" s="10" t="n"/>
      <c r="D33" s="11">
        <f>AVERAGEIF($C$3:$C$32,"none",D$3:D$32)</f>
        <v/>
      </c>
      <c r="E33" s="35">
        <f>AVERAGEIF($C$3:$C$32,"none",E$3:E$32)</f>
        <v/>
      </c>
      <c r="F33" s="35">
        <f>AVERAGEIF($C$3:$C$32,"none",F$3:F$32)</f>
        <v/>
      </c>
      <c r="G33" s="11">
        <f>AVERAGEIF($C$3:$C$32,"none",G$3:G$32)</f>
        <v/>
      </c>
      <c r="H33" s="35">
        <f>AVERAGEIF($C$3:$C$32,"none",H$3:H$32)</f>
        <v/>
      </c>
      <c r="I33" s="10" t="n"/>
      <c r="J33" s="10" t="n"/>
    </row>
    <row r="34">
      <c r="A34" s="10" t="inlineStr">
        <is>
          <t>MEAN (gpa)</t>
        </is>
      </c>
      <c r="B34" s="10" t="n"/>
      <c r="C34" s="10" t="n"/>
      <c r="D34" s="11">
        <f>AVERAGEIF($C$3:$C$32,"gpa",D$3:D$32)</f>
        <v/>
      </c>
      <c r="E34" s="35">
        <f>AVERAGEIF($C$3:$C$32,"gpa",E$3:E$32)</f>
        <v/>
      </c>
      <c r="F34" s="35">
        <f>AVERAGEIF($C$3:$C$32,"gpa",F$3:F$32)</f>
        <v/>
      </c>
      <c r="G34" s="11">
        <f>AVERAGEIF($C$3:$C$32,"gpa",G$3:G$32)</f>
        <v/>
      </c>
      <c r="H34" s="35">
        <f>AVERAGEIF($C$3:$C$32,"gpa",H$3:H$32)</f>
        <v/>
      </c>
      <c r="I34" s="10" t="n"/>
      <c r="J34" s="10" t="n"/>
    </row>
    <row r="35">
      <c r="A35" s="10" t="inlineStr">
        <is>
          <t>MEAN (gpa_degree)</t>
        </is>
      </c>
      <c r="B35" s="10" t="n"/>
      <c r="C35" s="10" t="n"/>
      <c r="D35" s="11">
        <f>AVERAGEIF($C$3:$C$32,"gpa_degree",D$3:D$32)</f>
        <v/>
      </c>
      <c r="E35" s="35">
        <f>AVERAGEIF($C$3:$C$32,"gpa_degree",E$3:E$32)</f>
        <v/>
      </c>
      <c r="F35" s="35">
        <f>AVERAGEIF($C$3:$C$32,"gpa_degree",F$3:F$32)</f>
        <v/>
      </c>
      <c r="G35" s="11">
        <f>AVERAGEIF($C$3:$C$32,"gpa_degree",G$3:G$32)</f>
        <v/>
      </c>
      <c r="H35" s="35">
        <f>AVERAGEIF($C$3:$C$32,"gpa_degree",H$3:H$32)</f>
        <v/>
      </c>
      <c r="I35" s="10" t="n"/>
      <c r="J35" s="10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30" customWidth="1" style="28" min="1" max="1"/>
    <col width="6" customWidth="1" style="28" min="2" max="2"/>
    <col width="6" customWidth="1" style="28" min="3" max="3"/>
    <col width="10" customWidth="1" style="28" min="4" max="4"/>
    <col width="10" customWidth="1" style="28" min="5" max="5"/>
    <col width="14" customWidth="1" style="28" min="6" max="6"/>
    <col width="28" customWidth="1" style="28" min="7" max="7"/>
    <col width="22" customWidth="1" style="28" min="8" max="8"/>
    <col width="12" customWidth="1" style="28" min="9" max="9"/>
    <col width="12" customWidth="1" style="28" min="10" max="10"/>
    <col width="14" customWidth="1" style="28" min="11" max="11"/>
    <col width="12" customWidth="1" style="28" min="12" max="12"/>
    <col width="12" customWidth="1" style="28" min="13" max="13"/>
    <col width="18" customWidth="1" style="28" min="14" max="14"/>
  </cols>
  <sheetData>
    <row r="1">
      <c r="A1" s="38" t="inlineStr">
        <is>
          <t>Generated: 2026-04-16 00:59 — BDEC Aurora over Fp127² (libiop C++ runner)</t>
        </is>
      </c>
    </row>
    <row r="2">
      <c r="A2" s="39" t="inlineStr">
        <is>
          <t>Label</t>
        </is>
      </c>
      <c r="B2" s="39" t="inlineStr">
        <is>
          <t>λ</t>
        </is>
      </c>
      <c r="C2" s="39" t="inlineStr">
        <is>
          <t>ZK</t>
        </is>
      </c>
      <c r="D2" s="39" t="inlineStr">
        <is>
          <t>Expected</t>
        </is>
      </c>
      <c r="E2" s="39" t="inlineStr">
        <is>
          <t>Result</t>
        </is>
      </c>
      <c r="F2" s="39" t="inlineStr">
        <is>
          <t>cs_satisfied</t>
        </is>
      </c>
      <c r="G2" s="39" t="inlineStr">
        <is>
          <t>num_vars (padded, incl const-1)</t>
        </is>
      </c>
      <c r="H2" s="39" t="inlineStr">
        <is>
          <t>num_constraints (padded)</t>
        </is>
      </c>
      <c r="I2" s="39" t="inlineStr">
        <is>
          <t>t_P (ms)</t>
        </is>
      </c>
      <c r="J2" s="39" t="inlineStr">
        <is>
          <t>t_V (ms)</t>
        </is>
      </c>
      <c r="K2" s="39" t="inlineStr">
        <is>
          <t>Proof bytes</t>
        </is>
      </c>
      <c r="L2" s="39" t="inlineStr">
        <is>
          <t>Proof KiB</t>
        </is>
      </c>
      <c r="M2" s="39" t="inlineStr">
        <is>
          <t>Runner rc</t>
        </is>
      </c>
      <c r="N2" s="39" t="inlineStr">
        <is>
          <t>Source run</t>
        </is>
      </c>
    </row>
    <row r="3">
      <c r="A3" t="inlineStr">
        <is>
          <t>B8_libiop_l80_nozk</t>
        </is>
      </c>
      <c r="B3" t="n">
        <v>80</v>
      </c>
      <c r="C3" t="inlineStr">
        <is>
          <t>no</t>
        </is>
      </c>
      <c r="D3" t="inlineStr">
        <is>
          <t>ACCEPT</t>
        </is>
      </c>
      <c r="E3" s="40" t="inlineStr">
        <is>
          <t>ACCEPT</t>
        </is>
      </c>
      <c r="F3" t="b">
        <v>1</v>
      </c>
      <c r="G3" t="n">
        <v>262144</v>
      </c>
      <c r="H3" t="n">
        <v>262144</v>
      </c>
      <c r="I3" t="n">
        <v>107551</v>
      </c>
      <c r="J3" t="n">
        <v>20322.1</v>
      </c>
      <c r="K3" t="n">
        <v>640448</v>
      </c>
      <c r="L3" t="n">
        <v>625.4</v>
      </c>
      <c r="M3" t="n">
        <v>0</v>
      </c>
      <c r="N3" t="inlineStr">
        <is>
          <t>20260416_002710</t>
        </is>
      </c>
    </row>
    <row r="4">
      <c r="A4" t="inlineStr">
        <is>
          <t>B8_libiop_l128_nozk</t>
        </is>
      </c>
      <c r="B4" t="n">
        <v>128</v>
      </c>
      <c r="C4" t="inlineStr">
        <is>
          <t>no</t>
        </is>
      </c>
      <c r="D4" t="inlineStr">
        <is>
          <t>ACCEPT</t>
        </is>
      </c>
      <c r="E4" s="40" t="inlineStr">
        <is>
          <t>ACCEPT</t>
        </is>
      </c>
      <c r="F4" t="b">
        <v>1</v>
      </c>
      <c r="G4" t="n">
        <v>262144</v>
      </c>
      <c r="H4" t="n">
        <v>262144</v>
      </c>
      <c r="I4" t="n">
        <v>107289</v>
      </c>
      <c r="J4" t="n">
        <v>20448.4</v>
      </c>
      <c r="K4" t="n">
        <v>640448</v>
      </c>
      <c r="L4" t="n">
        <v>625.4</v>
      </c>
      <c r="M4" t="n">
        <v>0</v>
      </c>
      <c r="N4" t="inlineStr">
        <is>
          <t>20260416_002710</t>
        </is>
      </c>
    </row>
    <row r="5">
      <c r="A5" t="inlineStr">
        <is>
          <t>B8_libiop_l128_zk</t>
        </is>
      </c>
      <c r="B5" t="n">
        <v>128</v>
      </c>
      <c r="C5" t="inlineStr">
        <is>
          <t>yes</t>
        </is>
      </c>
      <c r="D5" t="inlineStr">
        <is>
          <t>ACCEPT</t>
        </is>
      </c>
      <c r="E5" s="40" t="inlineStr">
        <is>
          <t>ACCEPT</t>
        </is>
      </c>
      <c r="F5" t="b">
        <v>1</v>
      </c>
      <c r="G5" t="n">
        <v>262144</v>
      </c>
      <c r="H5" t="n">
        <v>262144</v>
      </c>
      <c r="I5" t="n">
        <v>480093</v>
      </c>
      <c r="J5" t="n">
        <v>20694.1</v>
      </c>
      <c r="K5" t="n">
        <v>802144</v>
      </c>
      <c r="L5" t="n">
        <v>783.3</v>
      </c>
      <c r="M5" t="n">
        <v>0</v>
      </c>
      <c r="N5" t="inlineStr">
        <is>
          <t>20260416_002710</t>
        </is>
      </c>
    </row>
    <row r="6">
      <c r="A6" t="inlineStr">
        <is>
          <t>B8_libiop_l128_corrupt</t>
        </is>
      </c>
      <c r="B6" t="n">
        <v>128</v>
      </c>
      <c r="C6" t="inlineStr">
        <is>
          <t>no</t>
        </is>
      </c>
      <c r="D6" t="inlineStr">
        <is>
          <t>REJECT</t>
        </is>
      </c>
      <c r="E6" s="40" t="inlineStr">
        <is>
          <t>REJECT</t>
        </is>
      </c>
      <c r="F6" t="b">
        <v>0</v>
      </c>
      <c r="G6" t="n">
        <v>262144</v>
      </c>
      <c r="H6" t="n">
        <v>262144</v>
      </c>
      <c r="I6" t="n">
        <v>105168</v>
      </c>
      <c r="J6" t="n">
        <v>20446.3</v>
      </c>
      <c r="K6" t="n">
        <v>640448</v>
      </c>
      <c r="L6" t="n">
        <v>625.4</v>
      </c>
      <c r="M6" t="n">
        <v>1</v>
      </c>
      <c r="N6" t="inlineStr">
        <is>
          <t>20260416_004806</t>
        </is>
      </c>
    </row>
    <row r="8">
      <c r="A8" s="38" t="inlineStr">
        <is>
          <t>Derived</t>
        </is>
      </c>
    </row>
    <row r="9">
      <c r="A9" t="inlineStr">
        <is>
          <t>ZK prover overhead (×)</t>
        </is>
      </c>
      <c r="B9" t="n">
        <v>4.47</v>
      </c>
    </row>
    <row r="10">
      <c r="A10" t="inlineStr">
        <is>
          <t>ZK verifier overhead (×)</t>
        </is>
      </c>
      <c r="B10" t="n">
        <v>1.01</v>
      </c>
    </row>
    <row r="11">
      <c r="A11" t="inlineStr">
        <is>
          <t>ZK proof-size overhead (×)</t>
        </is>
      </c>
      <c r="B11" t="n">
        <v>1.252</v>
      </c>
    </row>
    <row r="12">
      <c r="A12" t="inlineStr">
        <is>
          <t>Soundness: UNSAT witness → verifier</t>
        </is>
      </c>
      <c r="B12" t="inlineStr">
        <is>
          <t>REJECT (cs_satisfied=False)</t>
        </is>
      </c>
    </row>
    <row r="14">
      <c r="A14" s="38" t="inlineStr">
        <is>
          <t>Notes</t>
        </is>
      </c>
    </row>
    <row r="15">
      <c r="A15" t="inlineStr">
        <is>
          <t>• Padded circuit size 2^18 = 262,144 constraints / variables (next-pow2 of raw BDEC R1CS).</t>
        </is>
      </c>
    </row>
    <row r="16">
      <c r="A16" t="inlineStr">
        <is>
          <t>• λ=80 and λ=128 both fall in the 2^18 bucket — identical FFT domain, so wall-clock differs only via FRI query counts.</t>
        </is>
      </c>
    </row>
    <row r="17">
      <c r="A17" t="inlineStr">
        <is>
          <t>• ZK variant adds masking polys; RS_extra_dimensions held at 5 for both modes (upstream libiop default).</t>
        </is>
      </c>
    </row>
    <row r="18">
      <c r="A18" t="inlineStr">
        <is>
          <t>• Corrupt cell flips live witness slots 0/1 (var_idx 1/2, referenced by constraint 0) to bypass padding-region zero slots.</t>
        </is>
      </c>
    </row>
    <row r="19">
      <c r="A19" t="inlineStr">
        <is>
          <t>• Source JSONL: results/bench_run_{ts}/libiop_aurora.jsonl.</t>
        </is>
      </c>
    </row>
  </sheetData>
  <mergeCells count="5">
    <mergeCell ref="A17:N17"/>
    <mergeCell ref="A18:N18"/>
    <mergeCell ref="A16:N16"/>
    <mergeCell ref="A15:N15"/>
    <mergeCell ref="A19:N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4"/>
  <cols>
    <col width="6" customWidth="1" style="28" min="1" max="2"/>
    <col width="12" customWidth="1" style="28" min="3" max="3"/>
    <col width="14" customWidth="1" style="28" min="4" max="4"/>
    <col width="18" customWidth="1" style="28" min="5" max="5"/>
    <col width="16" customWidth="1" style="28" min="6" max="7"/>
    <col width="12" customWidth="1" style="28" min="8" max="9"/>
    <col width="18" customWidth="1" style="28" min="10" max="10"/>
  </cols>
  <sheetData>
    <row r="1">
      <c r="A1" s="27" t="inlineStr">
        <is>
          <t>Generated: 2026-04-13 21:37</t>
        </is>
      </c>
    </row>
    <row r="2" ht="15" customHeight="1" s="28">
      <c r="A2" s="1" t="inlineStr">
        <is>
          <t>k</t>
        </is>
      </c>
      <c r="B2" s="1" t="inlineStr">
        <is>
          <t>m</t>
        </is>
      </c>
      <c r="C2" s="1" t="inlineStr">
        <is>
          <t>rev_depth</t>
        </is>
      </c>
      <c r="D2" s="1" t="inlineStr">
        <is>
          <t>policy</t>
        </is>
      </c>
      <c r="E2" s="1" t="inlineStr">
        <is>
          <t>constraint_count</t>
        </is>
      </c>
      <c r="F2" s="1" t="inlineStr">
        <is>
          <t>loquat_only</t>
        </is>
      </c>
      <c r="G2" s="1" t="inlineStr">
        <is>
          <t>infrastructure</t>
        </is>
      </c>
      <c r="H2" s="1" t="inlineStr">
        <is>
          <t>griffin_pct</t>
        </is>
      </c>
      <c r="I2" s="1" t="inlineStr">
        <is>
          <t>loquat_pct</t>
        </is>
      </c>
      <c r="J2" s="1" t="inlineStr">
        <is>
          <t>infrastructure_pct</t>
        </is>
      </c>
    </row>
    <row r="3">
      <c r="A3" s="2" t="n">
        <v>1</v>
      </c>
      <c r="B3" s="2" t="n">
        <v>64</v>
      </c>
      <c r="C3" s="2" t="n">
        <v>10</v>
      </c>
      <c r="D3" s="2" t="inlineStr">
        <is>
          <t>none</t>
        </is>
      </c>
      <c r="E3" s="3" t="n"/>
      <c r="F3" s="3" t="n"/>
      <c r="G3" s="3" t="n"/>
      <c r="H3" s="2">
        <f>IF(E3&gt;0, "TBD", "")</f>
        <v/>
      </c>
      <c r="I3" s="41">
        <f>IF(E3&gt;0, F3/E3, "")</f>
        <v/>
      </c>
      <c r="J3" s="41">
        <f>IF(E3&gt;0, G3/E3, "")</f>
        <v/>
      </c>
    </row>
    <row r="4">
      <c r="A4" s="6" t="n">
        <v>1</v>
      </c>
      <c r="B4" s="6" t="n">
        <v>64</v>
      </c>
      <c r="C4" s="6" t="n">
        <v>10</v>
      </c>
      <c r="D4" s="6" t="inlineStr">
        <is>
          <t>gpa</t>
        </is>
      </c>
      <c r="E4" s="7" t="n"/>
      <c r="F4" s="7" t="n"/>
      <c r="G4" s="7" t="n"/>
      <c r="H4" s="6">
        <f>IF(E4&gt;0, "TBD", "")</f>
        <v/>
      </c>
      <c r="I4" s="42">
        <f>IF(E4&gt;0, F4/E4, "")</f>
        <v/>
      </c>
      <c r="J4" s="42">
        <f>IF(E4&gt;0, G4/E4, "")</f>
        <v/>
      </c>
    </row>
    <row r="5">
      <c r="A5" s="2" t="n">
        <v>1</v>
      </c>
      <c r="B5" s="2" t="n">
        <v>64</v>
      </c>
      <c r="C5" s="2" t="n">
        <v>10</v>
      </c>
      <c r="D5" s="2" t="inlineStr">
        <is>
          <t>gpa_degree</t>
        </is>
      </c>
      <c r="E5" s="3" t="n"/>
      <c r="F5" s="3" t="n"/>
      <c r="G5" s="3" t="n"/>
      <c r="H5" s="2">
        <f>IF(E5&gt;0, "TBD", "")</f>
        <v/>
      </c>
      <c r="I5" s="41">
        <f>IF(E5&gt;0, F5/E5, "")</f>
        <v/>
      </c>
      <c r="J5" s="41">
        <f>IF(E5&gt;0, G5/E5, "")</f>
        <v/>
      </c>
    </row>
    <row r="6">
      <c r="A6" s="6" t="n">
        <v>1</v>
      </c>
      <c r="B6" s="6" t="n">
        <v>64</v>
      </c>
      <c r="C6" s="6" t="n">
        <v>20</v>
      </c>
      <c r="D6" s="6" t="inlineStr">
        <is>
          <t>none</t>
        </is>
      </c>
      <c r="E6" s="7" t="n"/>
      <c r="F6" s="7" t="n"/>
      <c r="G6" s="7" t="n"/>
      <c r="H6" s="6">
        <f>IF(E6&gt;0, "TBD", "")</f>
        <v/>
      </c>
      <c r="I6" s="42">
        <f>IF(E6&gt;0, F6/E6, "")</f>
        <v/>
      </c>
      <c r="J6" s="42">
        <f>IF(E6&gt;0, G6/E6, "")</f>
        <v/>
      </c>
    </row>
    <row r="7">
      <c r="A7" s="2" t="n">
        <v>1</v>
      </c>
      <c r="B7" s="2" t="n">
        <v>64</v>
      </c>
      <c r="C7" s="2" t="n">
        <v>20</v>
      </c>
      <c r="D7" s="2" t="inlineStr">
        <is>
          <t>gpa</t>
        </is>
      </c>
      <c r="E7" s="3" t="n"/>
      <c r="F7" s="3" t="n"/>
      <c r="G7" s="3" t="n"/>
      <c r="H7" s="2">
        <f>IF(E7&gt;0, "TBD", "")</f>
        <v/>
      </c>
      <c r="I7" s="41">
        <f>IF(E7&gt;0, F7/E7, "")</f>
        <v/>
      </c>
      <c r="J7" s="41">
        <f>IF(E7&gt;0, G7/E7, "")</f>
        <v/>
      </c>
    </row>
    <row r="8">
      <c r="A8" s="6" t="n">
        <v>1</v>
      </c>
      <c r="B8" s="6" t="n">
        <v>64</v>
      </c>
      <c r="C8" s="6" t="n">
        <v>20</v>
      </c>
      <c r="D8" s="6" t="inlineStr">
        <is>
          <t>gpa_degree</t>
        </is>
      </c>
      <c r="E8" s="7" t="n"/>
      <c r="F8" s="7" t="n"/>
      <c r="G8" s="7" t="n"/>
      <c r="H8" s="6">
        <f>IF(E8&gt;0, "TBD", "")</f>
        <v/>
      </c>
      <c r="I8" s="42">
        <f>IF(E8&gt;0, F8/E8, "")</f>
        <v/>
      </c>
      <c r="J8" s="42">
        <f>IF(E8&gt;0, G8/E8, "")</f>
        <v/>
      </c>
    </row>
    <row r="9">
      <c r="A9" s="2" t="n">
        <v>2</v>
      </c>
      <c r="B9" s="2" t="n">
        <v>64</v>
      </c>
      <c r="C9" s="2" t="n">
        <v>10</v>
      </c>
      <c r="D9" s="2" t="inlineStr">
        <is>
          <t>none</t>
        </is>
      </c>
      <c r="E9" s="3" t="n"/>
      <c r="F9" s="3" t="n"/>
      <c r="G9" s="3" t="n"/>
      <c r="H9" s="2">
        <f>IF(E9&gt;0, "TBD", "")</f>
        <v/>
      </c>
      <c r="I9" s="41">
        <f>IF(E9&gt;0, F9/E9, "")</f>
        <v/>
      </c>
      <c r="J9" s="41">
        <f>IF(E9&gt;0, G9/E9, "")</f>
        <v/>
      </c>
    </row>
    <row r="10">
      <c r="A10" s="6" t="n">
        <v>2</v>
      </c>
      <c r="B10" s="6" t="n">
        <v>64</v>
      </c>
      <c r="C10" s="6" t="n">
        <v>10</v>
      </c>
      <c r="D10" s="6" t="inlineStr">
        <is>
          <t>gpa</t>
        </is>
      </c>
      <c r="E10" s="7" t="n"/>
      <c r="F10" s="7" t="n"/>
      <c r="G10" s="7" t="n"/>
      <c r="H10" s="6">
        <f>IF(E10&gt;0, "TBD", "")</f>
        <v/>
      </c>
      <c r="I10" s="42">
        <f>IF(E10&gt;0, F10/E10, "")</f>
        <v/>
      </c>
      <c r="J10" s="42">
        <f>IF(E10&gt;0, G10/E10, "")</f>
        <v/>
      </c>
    </row>
    <row r="11">
      <c r="A11" s="2" t="n">
        <v>2</v>
      </c>
      <c r="B11" s="2" t="n">
        <v>64</v>
      </c>
      <c r="C11" s="2" t="n">
        <v>10</v>
      </c>
      <c r="D11" s="2" t="inlineStr">
        <is>
          <t>gpa_degree</t>
        </is>
      </c>
      <c r="E11" s="3" t="n"/>
      <c r="F11" s="3" t="n"/>
      <c r="G11" s="3" t="n"/>
      <c r="H11" s="2">
        <f>IF(E11&gt;0, "TBD", "")</f>
        <v/>
      </c>
      <c r="I11" s="41">
        <f>IF(E11&gt;0, F11/E11, "")</f>
        <v/>
      </c>
      <c r="J11" s="41">
        <f>IF(E11&gt;0, G11/E11, "")</f>
        <v/>
      </c>
    </row>
    <row r="12">
      <c r="A12" s="6" t="n">
        <v>2</v>
      </c>
      <c r="B12" s="6" t="n">
        <v>64</v>
      </c>
      <c r="C12" s="6" t="n">
        <v>20</v>
      </c>
      <c r="D12" s="6" t="inlineStr">
        <is>
          <t>none</t>
        </is>
      </c>
      <c r="E12" s="7" t="n"/>
      <c r="F12" s="7" t="n"/>
      <c r="G12" s="7" t="n"/>
      <c r="H12" s="6">
        <f>IF(E12&gt;0, "TBD", "")</f>
        <v/>
      </c>
      <c r="I12" s="42">
        <f>IF(E12&gt;0, F12/E12, "")</f>
        <v/>
      </c>
      <c r="J12" s="42">
        <f>IF(E12&gt;0, G12/E12, "")</f>
        <v/>
      </c>
    </row>
    <row r="13">
      <c r="A13" s="2" t="n">
        <v>2</v>
      </c>
      <c r="B13" s="2" t="n">
        <v>64</v>
      </c>
      <c r="C13" s="2" t="n">
        <v>20</v>
      </c>
      <c r="D13" s="2" t="inlineStr">
        <is>
          <t>gpa</t>
        </is>
      </c>
      <c r="E13" s="3" t="n"/>
      <c r="F13" s="3" t="n"/>
      <c r="G13" s="3" t="n"/>
      <c r="H13" s="2">
        <f>IF(E13&gt;0, "TBD", "")</f>
        <v/>
      </c>
      <c r="I13" s="41">
        <f>IF(E13&gt;0, F13/E13, "")</f>
        <v/>
      </c>
      <c r="J13" s="41">
        <f>IF(E13&gt;0, G13/E13, "")</f>
        <v/>
      </c>
    </row>
    <row r="14">
      <c r="A14" s="6" t="n">
        <v>2</v>
      </c>
      <c r="B14" s="6" t="n">
        <v>64</v>
      </c>
      <c r="C14" s="6" t="n">
        <v>20</v>
      </c>
      <c r="D14" s="6" t="inlineStr">
        <is>
          <t>gpa_degree</t>
        </is>
      </c>
      <c r="E14" s="7" t="n"/>
      <c r="F14" s="7" t="n"/>
      <c r="G14" s="7" t="n"/>
      <c r="H14" s="6">
        <f>IF(E14&gt;0, "TBD", "")</f>
        <v/>
      </c>
      <c r="I14" s="42">
        <f>IF(E14&gt;0, F14/E14, "")</f>
        <v/>
      </c>
      <c r="J14" s="42">
        <f>IF(E14&gt;0, G14/E14, "")</f>
        <v/>
      </c>
    </row>
    <row r="15">
      <c r="A15" s="2" t="n">
        <v>4</v>
      </c>
      <c r="B15" s="2" t="n">
        <v>64</v>
      </c>
      <c r="C15" s="2" t="n">
        <v>10</v>
      </c>
      <c r="D15" s="2" t="inlineStr">
        <is>
          <t>none</t>
        </is>
      </c>
      <c r="E15" s="3" t="n"/>
      <c r="F15" s="3" t="n"/>
      <c r="G15" s="3" t="n"/>
      <c r="H15" s="2">
        <f>IF(E15&gt;0, "TBD", "")</f>
        <v/>
      </c>
      <c r="I15" s="41">
        <f>IF(E15&gt;0, F15/E15, "")</f>
        <v/>
      </c>
      <c r="J15" s="41">
        <f>IF(E15&gt;0, G15/E15, "")</f>
        <v/>
      </c>
    </row>
    <row r="16">
      <c r="A16" s="6" t="n">
        <v>4</v>
      </c>
      <c r="B16" s="6" t="n">
        <v>64</v>
      </c>
      <c r="C16" s="6" t="n">
        <v>10</v>
      </c>
      <c r="D16" s="6" t="inlineStr">
        <is>
          <t>gpa</t>
        </is>
      </c>
      <c r="E16" s="7" t="n"/>
      <c r="F16" s="7" t="n"/>
      <c r="G16" s="7" t="n"/>
      <c r="H16" s="6">
        <f>IF(E16&gt;0, "TBD", "")</f>
        <v/>
      </c>
      <c r="I16" s="42">
        <f>IF(E16&gt;0, F16/E16, "")</f>
        <v/>
      </c>
      <c r="J16" s="42">
        <f>IF(E16&gt;0, G16/E16, "")</f>
        <v/>
      </c>
    </row>
    <row r="17">
      <c r="A17" s="2" t="n">
        <v>4</v>
      </c>
      <c r="B17" s="2" t="n">
        <v>64</v>
      </c>
      <c r="C17" s="2" t="n">
        <v>10</v>
      </c>
      <c r="D17" s="2" t="inlineStr">
        <is>
          <t>gpa_degree</t>
        </is>
      </c>
      <c r="E17" s="3" t="n"/>
      <c r="F17" s="3" t="n"/>
      <c r="G17" s="3" t="n"/>
      <c r="H17" s="2">
        <f>IF(E17&gt;0, "TBD", "")</f>
        <v/>
      </c>
      <c r="I17" s="41">
        <f>IF(E17&gt;0, F17/E17, "")</f>
        <v/>
      </c>
      <c r="J17" s="41">
        <f>IF(E17&gt;0, G17/E17, "")</f>
        <v/>
      </c>
    </row>
    <row r="18">
      <c r="A18" s="6" t="n">
        <v>4</v>
      </c>
      <c r="B18" s="6" t="n">
        <v>64</v>
      </c>
      <c r="C18" s="6" t="n">
        <v>20</v>
      </c>
      <c r="D18" s="6" t="inlineStr">
        <is>
          <t>none</t>
        </is>
      </c>
      <c r="E18" s="7" t="n"/>
      <c r="F18" s="7" t="n"/>
      <c r="G18" s="7" t="n"/>
      <c r="H18" s="6">
        <f>IF(E18&gt;0, "TBD", "")</f>
        <v/>
      </c>
      <c r="I18" s="42">
        <f>IF(E18&gt;0, F18/E18, "")</f>
        <v/>
      </c>
      <c r="J18" s="42">
        <f>IF(E18&gt;0, G18/E18, "")</f>
        <v/>
      </c>
    </row>
    <row r="19">
      <c r="A19" s="2" t="n">
        <v>4</v>
      </c>
      <c r="B19" s="2" t="n">
        <v>64</v>
      </c>
      <c r="C19" s="2" t="n">
        <v>20</v>
      </c>
      <c r="D19" s="2" t="inlineStr">
        <is>
          <t>gpa</t>
        </is>
      </c>
      <c r="E19" s="3" t="n"/>
      <c r="F19" s="3" t="n"/>
      <c r="G19" s="3" t="n"/>
      <c r="H19" s="2">
        <f>IF(E19&gt;0, "TBD", "")</f>
        <v/>
      </c>
      <c r="I19" s="41">
        <f>IF(E19&gt;0, F19/E19, "")</f>
        <v/>
      </c>
      <c r="J19" s="41">
        <f>IF(E19&gt;0, G19/E19, "")</f>
        <v/>
      </c>
    </row>
    <row r="20">
      <c r="A20" s="6" t="n">
        <v>4</v>
      </c>
      <c r="B20" s="6" t="n">
        <v>64</v>
      </c>
      <c r="C20" s="6" t="n">
        <v>20</v>
      </c>
      <c r="D20" s="6" t="inlineStr">
        <is>
          <t>gpa_degree</t>
        </is>
      </c>
      <c r="E20" s="7" t="n"/>
      <c r="F20" s="7" t="n"/>
      <c r="G20" s="7" t="n"/>
      <c r="H20" s="6">
        <f>IF(E20&gt;0, "TBD", "")</f>
        <v/>
      </c>
      <c r="I20" s="42">
        <f>IF(E20&gt;0, F20/E20, "")</f>
        <v/>
      </c>
      <c r="J20" s="42">
        <f>IF(E20&gt;0, G20/E20, "")</f>
        <v/>
      </c>
    </row>
    <row r="21">
      <c r="A21" s="2" t="n">
        <v>6</v>
      </c>
      <c r="B21" s="2" t="n">
        <v>64</v>
      </c>
      <c r="C21" s="2" t="n">
        <v>10</v>
      </c>
      <c r="D21" s="2" t="inlineStr">
        <is>
          <t>none</t>
        </is>
      </c>
      <c r="E21" s="3" t="n"/>
      <c r="F21" s="3" t="n"/>
      <c r="G21" s="3" t="n"/>
      <c r="H21" s="2">
        <f>IF(E21&gt;0, "TBD", "")</f>
        <v/>
      </c>
      <c r="I21" s="41">
        <f>IF(E21&gt;0, F21/E21, "")</f>
        <v/>
      </c>
      <c r="J21" s="41">
        <f>IF(E21&gt;0, G21/E21, "")</f>
        <v/>
      </c>
    </row>
    <row r="22">
      <c r="A22" s="6" t="n">
        <v>6</v>
      </c>
      <c r="B22" s="6" t="n">
        <v>64</v>
      </c>
      <c r="C22" s="6" t="n">
        <v>10</v>
      </c>
      <c r="D22" s="6" t="inlineStr">
        <is>
          <t>gpa</t>
        </is>
      </c>
      <c r="E22" s="7" t="n"/>
      <c r="F22" s="7" t="n"/>
      <c r="G22" s="7" t="n"/>
      <c r="H22" s="6">
        <f>IF(E22&gt;0, "TBD", "")</f>
        <v/>
      </c>
      <c r="I22" s="42">
        <f>IF(E22&gt;0, F22/E22, "")</f>
        <v/>
      </c>
      <c r="J22" s="42">
        <f>IF(E22&gt;0, G22/E22, "")</f>
        <v/>
      </c>
    </row>
    <row r="23">
      <c r="A23" s="2" t="n">
        <v>6</v>
      </c>
      <c r="B23" s="2" t="n">
        <v>64</v>
      </c>
      <c r="C23" s="2" t="n">
        <v>10</v>
      </c>
      <c r="D23" s="2" t="inlineStr">
        <is>
          <t>gpa_degree</t>
        </is>
      </c>
      <c r="E23" s="3" t="n"/>
      <c r="F23" s="3" t="n"/>
      <c r="G23" s="3" t="n"/>
      <c r="H23" s="2">
        <f>IF(E23&gt;0, "TBD", "")</f>
        <v/>
      </c>
      <c r="I23" s="41">
        <f>IF(E23&gt;0, F23/E23, "")</f>
        <v/>
      </c>
      <c r="J23" s="41">
        <f>IF(E23&gt;0, G23/E23, "")</f>
        <v/>
      </c>
    </row>
    <row r="24">
      <c r="A24" s="6" t="n">
        <v>6</v>
      </c>
      <c r="B24" s="6" t="n">
        <v>64</v>
      </c>
      <c r="C24" s="6" t="n">
        <v>20</v>
      </c>
      <c r="D24" s="6" t="inlineStr">
        <is>
          <t>none</t>
        </is>
      </c>
      <c r="E24" s="7" t="n"/>
      <c r="F24" s="7" t="n"/>
      <c r="G24" s="7" t="n"/>
      <c r="H24" s="6">
        <f>IF(E24&gt;0, "TBD", "")</f>
        <v/>
      </c>
      <c r="I24" s="42">
        <f>IF(E24&gt;0, F24/E24, "")</f>
        <v/>
      </c>
      <c r="J24" s="42">
        <f>IF(E24&gt;0, G24/E24, "")</f>
        <v/>
      </c>
    </row>
    <row r="25">
      <c r="A25" s="2" t="n">
        <v>6</v>
      </c>
      <c r="B25" s="2" t="n">
        <v>64</v>
      </c>
      <c r="C25" s="2" t="n">
        <v>20</v>
      </c>
      <c r="D25" s="2" t="inlineStr">
        <is>
          <t>gpa</t>
        </is>
      </c>
      <c r="E25" s="3" t="n"/>
      <c r="F25" s="3" t="n"/>
      <c r="G25" s="3" t="n"/>
      <c r="H25" s="2">
        <f>IF(E25&gt;0, "TBD", "")</f>
        <v/>
      </c>
      <c r="I25" s="41">
        <f>IF(E25&gt;0, F25/E25, "")</f>
        <v/>
      </c>
      <c r="J25" s="41">
        <f>IF(E25&gt;0, G25/E25, "")</f>
        <v/>
      </c>
    </row>
    <row r="26">
      <c r="A26" s="6" t="n">
        <v>6</v>
      </c>
      <c r="B26" s="6" t="n">
        <v>64</v>
      </c>
      <c r="C26" s="6" t="n">
        <v>20</v>
      </c>
      <c r="D26" s="6" t="inlineStr">
        <is>
          <t>gpa_degree</t>
        </is>
      </c>
      <c r="E26" s="7" t="n"/>
      <c r="F26" s="7" t="n"/>
      <c r="G26" s="7" t="n"/>
      <c r="H26" s="6">
        <f>IF(E26&gt;0, "TBD", "")</f>
        <v/>
      </c>
      <c r="I26" s="42">
        <f>IF(E26&gt;0, F26/E26, "")</f>
        <v/>
      </c>
      <c r="J26" s="42">
        <f>IF(E26&gt;0, G26/E26, "")</f>
        <v/>
      </c>
    </row>
    <row r="27">
      <c r="A27" s="2" t="n">
        <v>8</v>
      </c>
      <c r="B27" s="2" t="n">
        <v>64</v>
      </c>
      <c r="C27" s="2" t="n">
        <v>10</v>
      </c>
      <c r="D27" s="2" t="inlineStr">
        <is>
          <t>none</t>
        </is>
      </c>
      <c r="E27" s="3" t="n"/>
      <c r="F27" s="3" t="n"/>
      <c r="G27" s="3" t="n"/>
      <c r="H27" s="2">
        <f>IF(E27&gt;0, "TBD", "")</f>
        <v/>
      </c>
      <c r="I27" s="41">
        <f>IF(E27&gt;0, F27/E27, "")</f>
        <v/>
      </c>
      <c r="J27" s="41">
        <f>IF(E27&gt;0, G27/E27, "")</f>
        <v/>
      </c>
    </row>
    <row r="28">
      <c r="A28" s="6" t="n">
        <v>8</v>
      </c>
      <c r="B28" s="6" t="n">
        <v>64</v>
      </c>
      <c r="C28" s="6" t="n">
        <v>10</v>
      </c>
      <c r="D28" s="6" t="inlineStr">
        <is>
          <t>gpa</t>
        </is>
      </c>
      <c r="E28" s="7" t="n"/>
      <c r="F28" s="7" t="n"/>
      <c r="G28" s="7" t="n"/>
      <c r="H28" s="6">
        <f>IF(E28&gt;0, "TBD", "")</f>
        <v/>
      </c>
      <c r="I28" s="42">
        <f>IF(E28&gt;0, F28/E28, "")</f>
        <v/>
      </c>
      <c r="J28" s="42">
        <f>IF(E28&gt;0, G28/E28, "")</f>
        <v/>
      </c>
    </row>
    <row r="29">
      <c r="A29" s="2" t="n">
        <v>8</v>
      </c>
      <c r="B29" s="2" t="n">
        <v>64</v>
      </c>
      <c r="C29" s="2" t="n">
        <v>10</v>
      </c>
      <c r="D29" s="2" t="inlineStr">
        <is>
          <t>gpa_degree</t>
        </is>
      </c>
      <c r="E29" s="3" t="n"/>
      <c r="F29" s="3" t="n"/>
      <c r="G29" s="3" t="n"/>
      <c r="H29" s="2">
        <f>IF(E29&gt;0, "TBD", "")</f>
        <v/>
      </c>
      <c r="I29" s="41">
        <f>IF(E29&gt;0, F29/E29, "")</f>
        <v/>
      </c>
      <c r="J29" s="41">
        <f>IF(E29&gt;0, G29/E29, "")</f>
        <v/>
      </c>
    </row>
    <row r="30">
      <c r="A30" s="6" t="n">
        <v>8</v>
      </c>
      <c r="B30" s="6" t="n">
        <v>64</v>
      </c>
      <c r="C30" s="6" t="n">
        <v>20</v>
      </c>
      <c r="D30" s="6" t="inlineStr">
        <is>
          <t>none</t>
        </is>
      </c>
      <c r="E30" s="7" t="n"/>
      <c r="F30" s="7" t="n"/>
      <c r="G30" s="7" t="n"/>
      <c r="H30" s="6">
        <f>IF(E30&gt;0, "TBD", "")</f>
        <v/>
      </c>
      <c r="I30" s="42">
        <f>IF(E30&gt;0, F30/E30, "")</f>
        <v/>
      </c>
      <c r="J30" s="42">
        <f>IF(E30&gt;0, G30/E30, "")</f>
        <v/>
      </c>
    </row>
    <row r="31">
      <c r="A31" s="2" t="n">
        <v>8</v>
      </c>
      <c r="B31" s="2" t="n">
        <v>64</v>
      </c>
      <c r="C31" s="2" t="n">
        <v>20</v>
      </c>
      <c r="D31" s="2" t="inlineStr">
        <is>
          <t>gpa</t>
        </is>
      </c>
      <c r="E31" s="3" t="n"/>
      <c r="F31" s="3" t="n"/>
      <c r="G31" s="3" t="n"/>
      <c r="H31" s="2">
        <f>IF(E31&gt;0, "TBD", "")</f>
        <v/>
      </c>
      <c r="I31" s="41">
        <f>IF(E31&gt;0, F31/E31, "")</f>
        <v/>
      </c>
      <c r="J31" s="41">
        <f>IF(E31&gt;0, G31/E31, "")</f>
        <v/>
      </c>
    </row>
    <row r="32">
      <c r="A32" s="6" t="n">
        <v>8</v>
      </c>
      <c r="B32" s="6" t="n">
        <v>64</v>
      </c>
      <c r="C32" s="6" t="n">
        <v>20</v>
      </c>
      <c r="D32" s="6" t="inlineStr">
        <is>
          <t>gpa_degree</t>
        </is>
      </c>
      <c r="E32" s="7" t="n"/>
      <c r="F32" s="7" t="n"/>
      <c r="G32" s="7" t="n"/>
      <c r="H32" s="6">
        <f>IF(E32&gt;0, "TBD", "")</f>
        <v/>
      </c>
      <c r="I32" s="42">
        <f>IF(E32&gt;0, F32/E32, "")</f>
        <v/>
      </c>
      <c r="J32" s="42">
        <f>IF(E32&gt;0, G32/E32, "")</f>
        <v/>
      </c>
    </row>
    <row r="33">
      <c r="A33" s="2" t="n">
        <v>14</v>
      </c>
      <c r="B33" s="2" t="n">
        <v>64</v>
      </c>
      <c r="C33" s="2" t="n">
        <v>10</v>
      </c>
      <c r="D33" s="2" t="inlineStr">
        <is>
          <t>none</t>
        </is>
      </c>
      <c r="E33" s="3" t="n"/>
      <c r="F33" s="3" t="n"/>
      <c r="G33" s="3" t="n"/>
      <c r="H33" s="2">
        <f>IF(E33&gt;0, "TBD", "")</f>
        <v/>
      </c>
      <c r="I33" s="41">
        <f>IF(E33&gt;0, F33/E33, "")</f>
        <v/>
      </c>
      <c r="J33" s="41">
        <f>IF(E33&gt;0, G33/E33, "")</f>
        <v/>
      </c>
    </row>
    <row r="34">
      <c r="A34" s="6" t="n">
        <v>14</v>
      </c>
      <c r="B34" s="6" t="n">
        <v>64</v>
      </c>
      <c r="C34" s="6" t="n">
        <v>10</v>
      </c>
      <c r="D34" s="6" t="inlineStr">
        <is>
          <t>gpa</t>
        </is>
      </c>
      <c r="E34" s="7" t="n"/>
      <c r="F34" s="7" t="n"/>
      <c r="G34" s="7" t="n"/>
      <c r="H34" s="6">
        <f>IF(E34&gt;0, "TBD", "")</f>
        <v/>
      </c>
      <c r="I34" s="42">
        <f>IF(E34&gt;0, F34/E34, "")</f>
        <v/>
      </c>
      <c r="J34" s="42">
        <f>IF(E34&gt;0, G34/E34, "")</f>
        <v/>
      </c>
    </row>
    <row r="35">
      <c r="A35" s="2" t="n">
        <v>14</v>
      </c>
      <c r="B35" s="2" t="n">
        <v>64</v>
      </c>
      <c r="C35" s="2" t="n">
        <v>10</v>
      </c>
      <c r="D35" s="2" t="inlineStr">
        <is>
          <t>gpa_degree</t>
        </is>
      </c>
      <c r="E35" s="3" t="n"/>
      <c r="F35" s="3" t="n"/>
      <c r="G35" s="3" t="n"/>
      <c r="H35" s="2">
        <f>IF(E35&gt;0, "TBD", "")</f>
        <v/>
      </c>
      <c r="I35" s="41">
        <f>IF(E35&gt;0, F35/E35, "")</f>
        <v/>
      </c>
      <c r="J35" s="41">
        <f>IF(E35&gt;0, G35/E35, "")</f>
        <v/>
      </c>
    </row>
    <row r="36">
      <c r="A36" s="6" t="n">
        <v>14</v>
      </c>
      <c r="B36" s="6" t="n">
        <v>64</v>
      </c>
      <c r="C36" s="6" t="n">
        <v>20</v>
      </c>
      <c r="D36" s="6" t="inlineStr">
        <is>
          <t>none</t>
        </is>
      </c>
      <c r="E36" s="7" t="n"/>
      <c r="F36" s="7" t="n"/>
      <c r="G36" s="7" t="n"/>
      <c r="H36" s="6">
        <f>IF(E36&gt;0, "TBD", "")</f>
        <v/>
      </c>
      <c r="I36" s="42">
        <f>IF(E36&gt;0, F36/E36, "")</f>
        <v/>
      </c>
      <c r="J36" s="42">
        <f>IF(E36&gt;0, G36/E36, "")</f>
        <v/>
      </c>
    </row>
    <row r="37">
      <c r="A37" s="2" t="n">
        <v>14</v>
      </c>
      <c r="B37" s="2" t="n">
        <v>64</v>
      </c>
      <c r="C37" s="2" t="n">
        <v>20</v>
      </c>
      <c r="D37" s="2" t="inlineStr">
        <is>
          <t>gpa</t>
        </is>
      </c>
      <c r="E37" s="3" t="n"/>
      <c r="F37" s="3" t="n"/>
      <c r="G37" s="3" t="n"/>
      <c r="H37" s="2">
        <f>IF(E37&gt;0, "TBD", "")</f>
        <v/>
      </c>
      <c r="I37" s="41">
        <f>IF(E37&gt;0, F37/E37, "")</f>
        <v/>
      </c>
      <c r="J37" s="41">
        <f>IF(E37&gt;0, G37/E37, "")</f>
        <v/>
      </c>
    </row>
    <row r="38">
      <c r="A38" s="6" t="n">
        <v>14</v>
      </c>
      <c r="B38" s="6" t="n">
        <v>64</v>
      </c>
      <c r="C38" s="6" t="n">
        <v>20</v>
      </c>
      <c r="D38" s="6" t="inlineStr">
        <is>
          <t>gpa_degree</t>
        </is>
      </c>
      <c r="E38" s="7" t="n"/>
      <c r="F38" s="7" t="n"/>
      <c r="G38" s="7" t="n"/>
      <c r="H38" s="6">
        <f>IF(E38&gt;0, "TBD", "")</f>
        <v/>
      </c>
      <c r="I38" s="42">
        <f>IF(E38&gt;0, F38/E38, "")</f>
        <v/>
      </c>
      <c r="J38" s="42">
        <f>IF(E38&gt;0, G38/E38, "")</f>
        <v/>
      </c>
    </row>
    <row r="41" ht="16" customHeight="1" s="28">
      <c r="A41" s="29" t="inlineStr">
        <is>
          <t>LINEAR REGRESSION: N_C(k) = a + b*k</t>
        </is>
      </c>
    </row>
    <row r="42">
      <c r="A42" s="10" t="inlineStr">
        <is>
          <t>Slope (b)</t>
        </is>
      </c>
      <c r="B42" s="43">
        <f>SLOPE(E3:E38,A3:A38)</f>
        <v/>
      </c>
      <c r="C42" s="10" t="n"/>
    </row>
    <row r="43">
      <c r="A43" s="10" t="inlineStr">
        <is>
          <t>Intercept (a)</t>
        </is>
      </c>
      <c r="B43" s="43">
        <f>INTERCEPT(E3:E38,A3:A38)</f>
        <v/>
      </c>
      <c r="C43" s="10" t="n"/>
    </row>
    <row r="44">
      <c r="A44" s="10" t="inlineStr">
        <is>
          <t>R-squared</t>
        </is>
      </c>
      <c r="B44" s="44">
        <f>RSQ(E3:E38,A3:A38)</f>
        <v/>
      </c>
      <c r="C44" s="10" t="n"/>
    </row>
    <row r="45">
      <c r="A45" s="10" t="inlineStr">
        <is>
          <t>Formula</t>
        </is>
      </c>
      <c r="B45" s="10">
        <f>TEXT(B43,"#,##0")&amp;" + "&amp;TEXT(B42,"#,##0")&amp;" * k"</f>
        <v/>
      </c>
      <c r="C45" s="10" t="n"/>
    </row>
  </sheetData>
  <mergeCells count="2">
    <mergeCell ref="A1:J1"/>
    <mergeCell ref="A41:E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4"/>
  <cols>
    <col width="28" customWidth="1" style="28" min="1" max="1"/>
    <col width="18" customWidth="1" style="28" min="2" max="2"/>
    <col width="12" customWidth="1" style="28" min="3" max="3"/>
    <col width="18" customWidth="1" style="28" min="4" max="4"/>
    <col width="16" customWidth="1" style="28" min="5" max="5"/>
    <col width="30" customWidth="1" style="28" min="6" max="6"/>
  </cols>
  <sheetData>
    <row r="1">
      <c r="A1" s="27" t="inlineStr">
        <is>
          <t>Generated: 2026-04-13 21:37</t>
        </is>
      </c>
    </row>
    <row r="2" ht="15" customHeight="1" s="28">
      <c r="A2" s="1" t="inlineStr">
        <is>
          <t>Component</t>
        </is>
      </c>
      <c r="B2" s="1" t="inlineStr">
        <is>
          <t>Constraint Count</t>
        </is>
      </c>
      <c r="C2" s="1" t="inlineStr">
        <is>
          <t>% of Total</t>
        </is>
      </c>
      <c r="D2" s="1" t="inlineStr">
        <is>
          <t>Per Loquat Verify</t>
        </is>
      </c>
      <c r="E2" s="1" t="inlineStr">
        <is>
          <t>Per Griffin Call</t>
        </is>
      </c>
      <c r="F2" s="1" t="inlineStr">
        <is>
          <t>Notes</t>
        </is>
      </c>
    </row>
    <row r="3">
      <c r="A3" s="19" t="inlineStr">
        <is>
          <t>TOTAL (PP2, k=2)</t>
        </is>
      </c>
      <c r="B3" s="20" t="n"/>
      <c r="C3" s="45" t="n"/>
      <c r="D3" s="19" t="n"/>
      <c r="E3" s="19" t="n"/>
      <c r="F3" s="19" t="inlineStr">
        <is>
          <t>Full ShowVer circuit</t>
        </is>
      </c>
    </row>
    <row r="4">
      <c r="A4" s="6" t="inlineStr">
        <is>
          <t>Loquat Verification (x k+2)</t>
        </is>
      </c>
      <c r="B4" s="7" t="n"/>
      <c r="C4" s="42">
        <f>B4/B$3</f>
        <v/>
      </c>
      <c r="D4" s="6" t="n"/>
      <c r="E4" s="6" t="n"/>
      <c r="F4" s="6" t="inlineStr">
        <is>
          <t>k+2 signature verifications</t>
        </is>
      </c>
    </row>
    <row r="5">
      <c r="A5" s="2" t="inlineStr">
        <is>
          <t xml:space="preserve">  Griffin Hash (within Loquat)</t>
        </is>
      </c>
      <c r="B5" s="3" t="n"/>
      <c r="C5" s="41">
        <f>B5/B$3</f>
        <v/>
      </c>
      <c r="D5" s="2" t="n"/>
      <c r="E5" s="2" t="n"/>
      <c r="F5" s="2" t="inlineStr">
        <is>
          <t>93.5% of each Loquat verify (paper claim)</t>
        </is>
      </c>
    </row>
    <row r="6">
      <c r="A6" s="6" t="inlineStr">
        <is>
          <t xml:space="preserve">  Legendre PRF Evaluation</t>
        </is>
      </c>
      <c r="B6" s="7" t="n"/>
      <c r="C6" s="42">
        <f>B6/B$3</f>
        <v/>
      </c>
      <c r="D6" s="6" t="n"/>
      <c r="E6" s="6" t="n"/>
      <c r="F6" s="6" t="inlineStr">
        <is>
          <t>513 constraints per eval</t>
        </is>
      </c>
    </row>
    <row r="7">
      <c r="A7" s="2" t="inlineStr">
        <is>
          <t xml:space="preserve">  Polynomial Evaluation</t>
        </is>
      </c>
      <c r="B7" s="3" t="n"/>
      <c r="C7" s="41">
        <f>B7/B$3</f>
        <v/>
      </c>
      <c r="D7" s="2" t="n"/>
      <c r="E7" s="2" t="n"/>
      <c r="F7" s="2" t="inlineStr">
        <is>
          <t>~5K constraints</t>
        </is>
      </c>
    </row>
    <row r="8">
      <c r="A8" s="6" t="inlineStr">
        <is>
          <t>Merkle Path Verification</t>
        </is>
      </c>
      <c r="B8" s="7" t="n"/>
      <c r="C8" s="42">
        <f>B8/B$3</f>
        <v/>
      </c>
      <c r="D8" s="6" t="n"/>
      <c r="E8" s="6" t="n"/>
      <c r="F8" s="6" t="inlineStr">
        <is>
          <t>Tree depth dependent</t>
        </is>
      </c>
    </row>
    <row r="9">
      <c r="A9" s="2" t="inlineStr">
        <is>
          <t>Infrastructure / Binding</t>
        </is>
      </c>
      <c r="B9" s="3" t="n"/>
      <c r="C9" s="41">
        <f>B9/B$3</f>
        <v/>
      </c>
      <c r="D9" s="2" t="n"/>
      <c r="E9" s="2" t="n"/>
      <c r="F9" s="2" t="inlineStr">
        <is>
          <t>Challenge gen, credential binding, disclosure</t>
        </is>
      </c>
    </row>
    <row r="10">
      <c r="A10" s="6" t="inlineStr">
        <is>
          <t>Revocation Tree</t>
        </is>
      </c>
      <c r="B10" s="7" t="n"/>
      <c r="C10" s="42">
        <f>B10/B$3</f>
        <v/>
      </c>
      <c r="D10" s="6" t="n"/>
      <c r="E10" s="6" t="n"/>
      <c r="F10" s="6" t="inlineStr">
        <is>
          <t>Griffin-based accumulator</t>
        </is>
      </c>
    </row>
    <row r="11">
      <c r="A11" s="2" t="inlineStr">
        <is>
          <t>Policy Evaluation</t>
        </is>
      </c>
      <c r="B11" s="3" t="n"/>
      <c r="C11" s="41">
        <f>B11/B$3</f>
        <v/>
      </c>
      <c r="D11" s="2" t="n"/>
      <c r="E11" s="2" t="n"/>
      <c r="F11" s="2" t="inlineStr">
        <is>
          <t>GPA/degree predicates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4"/>
  <cols>
    <col width="8" customWidth="1" style="28" min="1" max="1"/>
    <col width="12" customWidth="1" style="28" min="2" max="2"/>
    <col width="18" customWidth="1" style="28" min="3" max="3"/>
    <col width="12" customWidth="1" style="28" min="4" max="6"/>
    <col width="14" customWidth="1" style="28" min="7" max="7"/>
    <col width="12" customWidth="1" style="28" min="8" max="8"/>
  </cols>
  <sheetData>
    <row r="1">
      <c r="A1" s="27" t="inlineStr">
        <is>
          <t>Generated: 2026-04-13 21:37</t>
        </is>
      </c>
    </row>
    <row r="2" ht="15" customHeight="1" s="28">
      <c r="A2" s="1" t="inlineStr">
        <is>
          <t>Run#</t>
        </is>
      </c>
      <c r="B2" s="1" t="inlineStr">
        <is>
          <t>Backend</t>
        </is>
      </c>
      <c r="C2" s="1" t="inlineStr">
        <is>
          <t>constraint_count</t>
        </is>
      </c>
      <c r="D2" s="1" t="inlineStr">
        <is>
          <t>indexer_s</t>
        </is>
      </c>
      <c r="E2" s="1" t="inlineStr">
        <is>
          <t>prove_s</t>
        </is>
      </c>
      <c r="F2" s="1" t="inlineStr">
        <is>
          <t>verify_s</t>
        </is>
      </c>
      <c r="G2" s="1" t="inlineStr">
        <is>
          <t>proof_bytes</t>
        </is>
      </c>
      <c r="H2" s="1" t="inlineStr">
        <is>
          <t>proof_KiB</t>
        </is>
      </c>
    </row>
    <row r="3">
      <c r="A3" s="2" t="n">
        <v>1</v>
      </c>
      <c r="B3" s="2" t="inlineStr">
        <is>
          <t>aurora</t>
        </is>
      </c>
      <c r="C3" s="3" t="n"/>
      <c r="D3" s="31" t="n"/>
      <c r="E3" s="31" t="n"/>
      <c r="F3" s="31" t="n"/>
      <c r="G3" s="3" t="n"/>
      <c r="H3" s="32">
        <f>G3/1024</f>
        <v/>
      </c>
    </row>
    <row r="4">
      <c r="A4" s="6" t="n">
        <v>2</v>
      </c>
      <c r="B4" s="6" t="inlineStr">
        <is>
          <t>aurora</t>
        </is>
      </c>
      <c r="C4" s="7" t="n"/>
      <c r="D4" s="33" t="n"/>
      <c r="E4" s="33" t="n"/>
      <c r="F4" s="33" t="n"/>
      <c r="G4" s="7" t="n"/>
      <c r="H4" s="34">
        <f>G4/1024</f>
        <v/>
      </c>
    </row>
    <row r="5">
      <c r="A5" s="2" t="n">
        <v>3</v>
      </c>
      <c r="B5" s="2" t="inlineStr">
        <is>
          <t>aurora</t>
        </is>
      </c>
      <c r="C5" s="3" t="n"/>
      <c r="D5" s="31" t="n"/>
      <c r="E5" s="31" t="n"/>
      <c r="F5" s="31" t="n"/>
      <c r="G5" s="3" t="n"/>
      <c r="H5" s="32">
        <f>G5/1024</f>
        <v/>
      </c>
    </row>
    <row r="6">
      <c r="A6" s="6" t="n">
        <v>4</v>
      </c>
      <c r="B6" s="6" t="inlineStr">
        <is>
          <t>aurora</t>
        </is>
      </c>
      <c r="C6" s="7" t="n"/>
      <c r="D6" s="33" t="n"/>
      <c r="E6" s="33" t="n"/>
      <c r="F6" s="33" t="n"/>
      <c r="G6" s="7" t="n"/>
      <c r="H6" s="34">
        <f>G6/1024</f>
        <v/>
      </c>
    </row>
    <row r="7">
      <c r="A7" s="2" t="n">
        <v>5</v>
      </c>
      <c r="B7" s="2" t="inlineStr">
        <is>
          <t>aurora</t>
        </is>
      </c>
      <c r="C7" s="3" t="n"/>
      <c r="D7" s="31" t="n"/>
      <c r="E7" s="31" t="n"/>
      <c r="F7" s="31" t="n"/>
      <c r="G7" s="3" t="n"/>
      <c r="H7" s="32">
        <f>G7/1024</f>
        <v/>
      </c>
    </row>
    <row r="8">
      <c r="A8" s="6" t="n">
        <v>6</v>
      </c>
      <c r="B8" s="6" t="inlineStr">
        <is>
          <t>aurora</t>
        </is>
      </c>
      <c r="C8" s="7" t="n"/>
      <c r="D8" s="33" t="n"/>
      <c r="E8" s="33" t="n"/>
      <c r="F8" s="33" t="n"/>
      <c r="G8" s="7" t="n"/>
      <c r="H8" s="34">
        <f>G8/1024</f>
        <v/>
      </c>
    </row>
    <row r="9">
      <c r="A9" s="2" t="n">
        <v>7</v>
      </c>
      <c r="B9" s="2" t="inlineStr">
        <is>
          <t>aurora</t>
        </is>
      </c>
      <c r="C9" s="3" t="n"/>
      <c r="D9" s="31" t="n"/>
      <c r="E9" s="31" t="n"/>
      <c r="F9" s="31" t="n"/>
      <c r="G9" s="3" t="n"/>
      <c r="H9" s="32">
        <f>G9/1024</f>
        <v/>
      </c>
    </row>
    <row r="10">
      <c r="A10" s="6" t="n">
        <v>8</v>
      </c>
      <c r="B10" s="6" t="inlineStr">
        <is>
          <t>aurora</t>
        </is>
      </c>
      <c r="C10" s="7" t="n"/>
      <c r="D10" s="33" t="n"/>
      <c r="E10" s="33" t="n"/>
      <c r="F10" s="33" t="n"/>
      <c r="G10" s="7" t="n"/>
      <c r="H10" s="34">
        <f>G10/1024</f>
        <v/>
      </c>
    </row>
    <row r="11">
      <c r="A11" s="2" t="n">
        <v>9</v>
      </c>
      <c r="B11" s="2" t="inlineStr">
        <is>
          <t>aurora</t>
        </is>
      </c>
      <c r="C11" s="3" t="n"/>
      <c r="D11" s="31" t="n"/>
      <c r="E11" s="31" t="n"/>
      <c r="F11" s="31" t="n"/>
      <c r="G11" s="3" t="n"/>
      <c r="H11" s="32">
        <f>G11/1024</f>
        <v/>
      </c>
    </row>
    <row r="12">
      <c r="A12" s="6" t="n">
        <v>10</v>
      </c>
      <c r="B12" s="6" t="inlineStr">
        <is>
          <t>aurora</t>
        </is>
      </c>
      <c r="C12" s="7" t="n"/>
      <c r="D12" s="33" t="n"/>
      <c r="E12" s="33" t="n"/>
      <c r="F12" s="33" t="n"/>
      <c r="G12" s="7" t="n"/>
      <c r="H12" s="34">
        <f>G12/1024</f>
        <v/>
      </c>
    </row>
    <row r="13">
      <c r="A13" s="2" t="n">
        <v>1</v>
      </c>
      <c r="B13" s="2" t="inlineStr">
        <is>
          <t>fractal</t>
        </is>
      </c>
      <c r="C13" s="3" t="n"/>
      <c r="D13" s="31" t="n"/>
      <c r="E13" s="31" t="n"/>
      <c r="F13" s="31" t="n"/>
      <c r="G13" s="3" t="n"/>
      <c r="H13" s="32">
        <f>G13/1024</f>
        <v/>
      </c>
    </row>
    <row r="14">
      <c r="A14" s="6" t="n">
        <v>2</v>
      </c>
      <c r="B14" s="6" t="inlineStr">
        <is>
          <t>fractal</t>
        </is>
      </c>
      <c r="C14" s="7" t="n"/>
      <c r="D14" s="33" t="n"/>
      <c r="E14" s="33" t="n"/>
      <c r="F14" s="33" t="n"/>
      <c r="G14" s="7" t="n"/>
      <c r="H14" s="34">
        <f>G14/1024</f>
        <v/>
      </c>
    </row>
    <row r="15">
      <c r="A15" s="2" t="n">
        <v>3</v>
      </c>
      <c r="B15" s="2" t="inlineStr">
        <is>
          <t>fractal</t>
        </is>
      </c>
      <c r="C15" s="3" t="n"/>
      <c r="D15" s="31" t="n"/>
      <c r="E15" s="31" t="n"/>
      <c r="F15" s="31" t="n"/>
      <c r="G15" s="3" t="n"/>
      <c r="H15" s="32">
        <f>G15/1024</f>
        <v/>
      </c>
    </row>
    <row r="16">
      <c r="A16" s="6" t="n">
        <v>4</v>
      </c>
      <c r="B16" s="6" t="inlineStr">
        <is>
          <t>fractal</t>
        </is>
      </c>
      <c r="C16" s="7" t="n"/>
      <c r="D16" s="33" t="n"/>
      <c r="E16" s="33" t="n"/>
      <c r="F16" s="33" t="n"/>
      <c r="G16" s="7" t="n"/>
      <c r="H16" s="34">
        <f>G16/1024</f>
        <v/>
      </c>
    </row>
    <row r="17">
      <c r="A17" s="2" t="n">
        <v>5</v>
      </c>
      <c r="B17" s="2" t="inlineStr">
        <is>
          <t>fractal</t>
        </is>
      </c>
      <c r="C17" s="3" t="n"/>
      <c r="D17" s="31" t="n"/>
      <c r="E17" s="31" t="n"/>
      <c r="F17" s="31" t="n"/>
      <c r="G17" s="3" t="n"/>
      <c r="H17" s="32">
        <f>G17/1024</f>
        <v/>
      </c>
    </row>
    <row r="18">
      <c r="A18" s="6" t="n">
        <v>6</v>
      </c>
      <c r="B18" s="6" t="inlineStr">
        <is>
          <t>fractal</t>
        </is>
      </c>
      <c r="C18" s="7" t="n"/>
      <c r="D18" s="33" t="n"/>
      <c r="E18" s="33" t="n"/>
      <c r="F18" s="33" t="n"/>
      <c r="G18" s="7" t="n"/>
      <c r="H18" s="34">
        <f>G18/1024</f>
        <v/>
      </c>
    </row>
    <row r="19">
      <c r="A19" s="2" t="n">
        <v>7</v>
      </c>
      <c r="B19" s="2" t="inlineStr">
        <is>
          <t>fractal</t>
        </is>
      </c>
      <c r="C19" s="3" t="n"/>
      <c r="D19" s="31" t="n"/>
      <c r="E19" s="31" t="n"/>
      <c r="F19" s="31" t="n"/>
      <c r="G19" s="3" t="n"/>
      <c r="H19" s="32">
        <f>G19/1024</f>
        <v/>
      </c>
    </row>
    <row r="20">
      <c r="A20" s="6" t="n">
        <v>8</v>
      </c>
      <c r="B20" s="6" t="inlineStr">
        <is>
          <t>fractal</t>
        </is>
      </c>
      <c r="C20" s="7" t="n"/>
      <c r="D20" s="33" t="n"/>
      <c r="E20" s="33" t="n"/>
      <c r="F20" s="33" t="n"/>
      <c r="G20" s="7" t="n"/>
      <c r="H20" s="34">
        <f>G20/1024</f>
        <v/>
      </c>
    </row>
    <row r="21">
      <c r="A21" s="2" t="n">
        <v>9</v>
      </c>
      <c r="B21" s="2" t="inlineStr">
        <is>
          <t>fractal</t>
        </is>
      </c>
      <c r="C21" s="3" t="n"/>
      <c r="D21" s="31" t="n"/>
      <c r="E21" s="31" t="n"/>
      <c r="F21" s="31" t="n"/>
      <c r="G21" s="3" t="n"/>
      <c r="H21" s="32">
        <f>G21/1024</f>
        <v/>
      </c>
    </row>
    <row r="22">
      <c r="A22" s="6" t="n">
        <v>10</v>
      </c>
      <c r="B22" s="6" t="inlineStr">
        <is>
          <t>fractal</t>
        </is>
      </c>
      <c r="C22" s="7" t="n"/>
      <c r="D22" s="33" t="n"/>
      <c r="E22" s="33" t="n"/>
      <c r="F22" s="33" t="n"/>
      <c r="G22" s="7" t="n"/>
      <c r="H22" s="34">
        <f>G22/1024</f>
        <v/>
      </c>
    </row>
    <row r="23">
      <c r="A23" s="10" t="inlineStr">
        <is>
          <t>MEAN (aurora)</t>
        </is>
      </c>
      <c r="B23" s="10" t="n"/>
      <c r="C23" s="11">
        <f>AVERAGEIF($B$3:$B$22,"aurora",C$3:C$22)</f>
        <v/>
      </c>
      <c r="D23" s="35">
        <f>AVERAGEIF($B$3:$B$22,"aurora",D$3:D$22)</f>
        <v/>
      </c>
      <c r="E23" s="35">
        <f>AVERAGEIF($B$3:$B$22,"aurora",E$3:E$22)</f>
        <v/>
      </c>
      <c r="F23" s="35">
        <f>AVERAGEIF($B$3:$B$22,"aurora",F$3:F$22)</f>
        <v/>
      </c>
      <c r="G23" s="11">
        <f>AVERAGEIF($B$3:$B$22,"aurora",G$3:G$22)</f>
        <v/>
      </c>
      <c r="H23" s="35">
        <f>AVERAGEIF($B$3:$B$22,"aurora",H$3:H$22)</f>
        <v/>
      </c>
    </row>
    <row r="24">
      <c r="A24" s="10" t="inlineStr">
        <is>
          <t>STDEV (aurora)</t>
        </is>
      </c>
      <c r="B24" s="10" t="n"/>
      <c r="C24" s="11">
        <f>STDEV(C$3:C$22)</f>
        <v/>
      </c>
      <c r="D24" s="35">
        <f>STDEV(D$3:D$22)</f>
        <v/>
      </c>
      <c r="E24" s="35">
        <f>STDEV(E$3:E$22)</f>
        <v/>
      </c>
      <c r="F24" s="35">
        <f>STDEV(F$3:F$22)</f>
        <v/>
      </c>
      <c r="G24" s="11">
        <f>STDEV(G$3:G$22)</f>
        <v/>
      </c>
      <c r="H24" s="35">
        <f>STDEV(H$3:H$22)</f>
        <v/>
      </c>
    </row>
    <row r="25">
      <c r="A25" s="10" t="inlineStr">
        <is>
          <t>MEAN (fractal)</t>
        </is>
      </c>
      <c r="B25" s="10" t="n"/>
      <c r="C25" s="11">
        <f>AVERAGEIF($B$3:$B$22,"fractal",C$3:C$22)</f>
        <v/>
      </c>
      <c r="D25" s="35">
        <f>AVERAGEIF($B$3:$B$22,"fractal",D$3:D$22)</f>
        <v/>
      </c>
      <c r="E25" s="35">
        <f>AVERAGEIF($B$3:$B$22,"fractal",E$3:E$22)</f>
        <v/>
      </c>
      <c r="F25" s="35">
        <f>AVERAGEIF($B$3:$B$22,"fractal",F$3:F$22)</f>
        <v/>
      </c>
      <c r="G25" s="11">
        <f>AVERAGEIF($B$3:$B$22,"fractal",G$3:G$22)</f>
        <v/>
      </c>
      <c r="H25" s="35">
        <f>AVERAGEIF($B$3:$B$22,"fractal",H$3:H$22)</f>
        <v/>
      </c>
    </row>
    <row r="26">
      <c r="A26" s="10" t="inlineStr">
        <is>
          <t>STDEV (fractal)</t>
        </is>
      </c>
      <c r="B26" s="10" t="n"/>
      <c r="C26" s="11">
        <f>STDEV(C$3:C$22)</f>
        <v/>
      </c>
      <c r="D26" s="35">
        <f>STDEV(D$3:D$22)</f>
        <v/>
      </c>
      <c r="E26" s="35">
        <f>STDEV(E$3:E$22)</f>
        <v/>
      </c>
      <c r="F26" s="35">
        <f>STDEV(F$3:F$22)</f>
        <v/>
      </c>
      <c r="G26" s="11">
        <f>STDEV(G$3:G$22)</f>
        <v/>
      </c>
      <c r="H26" s="35">
        <f>STDEV(H$3:H$22)</f>
        <v/>
      </c>
    </row>
    <row r="28">
      <c r="A28" s="10" t="inlineStr">
        <is>
          <t>Delta % (Fractal vs Aurora)</t>
        </is>
      </c>
      <c r="B28" s="10" t="n"/>
      <c r="C28" s="10" t="n"/>
      <c r="D28" s="46">
        <f>(D25-D23)/D23</f>
        <v/>
      </c>
      <c r="E28" s="46">
        <f>(E25-E23)/E23</f>
        <v/>
      </c>
      <c r="F28" s="46">
        <f>(F25-F23)/F23</f>
        <v/>
      </c>
      <c r="G28" s="46">
        <f>(G25-G23)/G23</f>
        <v/>
      </c>
      <c r="H28" s="10" t="n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4"/>
  <cols>
    <col width="6" customWidth="1" style="28" min="1" max="3"/>
    <col width="8" customWidth="1" style="28" min="4" max="4"/>
    <col width="16" customWidth="1" style="28" min="5" max="5"/>
    <col width="14" customWidth="1" style="28" min="6" max="8"/>
    <col width="12" customWidth="1" style="28" min="9" max="9"/>
    <col width="16" customWidth="1" style="28" min="10" max="10"/>
    <col width="14" customWidth="1" style="28" min="11" max="11"/>
    <col width="16" customWidth="1" style="28" min="12" max="12"/>
  </cols>
  <sheetData>
    <row r="1">
      <c r="A1" s="27" t="inlineStr">
        <is>
          <t>Generated: 2026-04-13 21:37</t>
        </is>
      </c>
    </row>
    <row r="2" ht="15" customHeight="1" s="28">
      <c r="A2" s="1" t="inlineStr">
        <is>
          <t>k</t>
        </is>
      </c>
      <c r="B2" s="1" t="inlineStr">
        <is>
          <t>s</t>
        </is>
      </c>
      <c r="C2" s="1" t="inlineStr">
        <is>
          <t>m</t>
        </is>
      </c>
      <c r="D2" s="1" t="inlineStr">
        <is>
          <t>mode</t>
        </is>
      </c>
      <c r="E2" s="1" t="inlineStr">
        <is>
          <t>trace_cycles</t>
        </is>
      </c>
      <c r="F2" s="1" t="inlineStr">
        <is>
          <t>prove_ms</t>
        </is>
      </c>
      <c r="G2" s="1" t="inlineStr">
        <is>
          <t>verify_ms</t>
        </is>
      </c>
      <c r="H2" s="1" t="inlineStr">
        <is>
          <t>proof_bytes</t>
        </is>
      </c>
      <c r="I2" s="1" t="inlineStr">
        <is>
          <t>proof_KiB</t>
        </is>
      </c>
      <c r="J2" s="1" t="inlineStr">
        <is>
          <t>loquat_verifies</t>
        </is>
      </c>
      <c r="K2" s="1" t="inlineStr">
        <is>
          <t>hash_calls</t>
        </is>
      </c>
      <c r="L2" s="1" t="inlineStr">
        <is>
          <t>merkle_nodes</t>
        </is>
      </c>
    </row>
    <row r="3">
      <c r="A3" s="30" t="inlineStr">
        <is>
          <t>DEV MODE (cycle counts, no ZK proof)</t>
        </is>
      </c>
    </row>
    <row r="4">
      <c r="A4" s="2" t="n">
        <v>1</v>
      </c>
      <c r="B4" s="2" t="n">
        <v>1</v>
      </c>
      <c r="C4" s="2" t="n">
        <v>16</v>
      </c>
      <c r="D4" s="2" t="inlineStr">
        <is>
          <t>dev</t>
        </is>
      </c>
      <c r="E4" s="3" t="n">
        <v>3789553664</v>
      </c>
      <c r="F4" s="23" t="n">
        <v>22268.14</v>
      </c>
      <c r="G4" s="23" t="n">
        <v>0</v>
      </c>
      <c r="H4" s="3" t="n">
        <v>0</v>
      </c>
      <c r="I4" s="2">
        <f>H4/1024</f>
        <v/>
      </c>
      <c r="J4" s="2" t="n">
        <v>4</v>
      </c>
      <c r="K4" s="2" t="n">
        <v>1</v>
      </c>
      <c r="L4" s="2" t="n">
        <v>26</v>
      </c>
    </row>
    <row r="5">
      <c r="A5" s="6" t="n">
        <v>1</v>
      </c>
      <c r="B5" s="6" t="n">
        <v>3</v>
      </c>
      <c r="C5" s="6" t="n">
        <v>16</v>
      </c>
      <c r="D5" s="6" t="inlineStr">
        <is>
          <t>dev</t>
        </is>
      </c>
      <c r="E5" s="7" t="n"/>
      <c r="F5" s="24" t="n"/>
      <c r="G5" s="24" t="n"/>
      <c r="H5" s="7" t="n"/>
      <c r="I5" s="6">
        <f>H5/1024</f>
        <v/>
      </c>
      <c r="J5" s="6" t="n"/>
      <c r="K5" s="6" t="n"/>
      <c r="L5" s="6" t="n"/>
    </row>
    <row r="6">
      <c r="A6" s="2" t="n">
        <v>2</v>
      </c>
      <c r="B6" s="2" t="n">
        <v>1</v>
      </c>
      <c r="C6" s="2" t="n">
        <v>64</v>
      </c>
      <c r="D6" s="2" t="inlineStr">
        <is>
          <t>dev</t>
        </is>
      </c>
      <c r="E6" s="3" t="n"/>
      <c r="F6" s="23" t="n"/>
      <c r="G6" s="23" t="n"/>
      <c r="H6" s="3" t="n"/>
      <c r="I6" s="2">
        <f>H6/1024</f>
        <v/>
      </c>
      <c r="J6" s="2" t="n"/>
      <c r="K6" s="2" t="n"/>
      <c r="L6" s="2" t="n"/>
    </row>
    <row r="7">
      <c r="A7" s="6" t="n">
        <v>2</v>
      </c>
      <c r="B7" s="6" t="n">
        <v>3</v>
      </c>
      <c r="C7" s="6" t="n">
        <v>64</v>
      </c>
      <c r="D7" s="6" t="inlineStr">
        <is>
          <t>dev</t>
        </is>
      </c>
      <c r="E7" s="7" t="n"/>
      <c r="F7" s="24" t="n"/>
      <c r="G7" s="24" t="n"/>
      <c r="H7" s="7" t="n"/>
      <c r="I7" s="6">
        <f>H7/1024</f>
        <v/>
      </c>
      <c r="J7" s="6" t="n"/>
      <c r="K7" s="6" t="n"/>
      <c r="L7" s="6" t="n"/>
    </row>
    <row r="8">
      <c r="A8" s="2" t="n">
        <v>1</v>
      </c>
      <c r="B8" s="2" t="n">
        <v>1</v>
      </c>
      <c r="C8" s="2" t="n">
        <v>256</v>
      </c>
      <c r="D8" s="2" t="inlineStr">
        <is>
          <t>dev</t>
        </is>
      </c>
      <c r="E8" s="3" t="n"/>
      <c r="F8" s="23" t="n"/>
      <c r="G8" s="23" t="n"/>
      <c r="H8" s="3" t="n"/>
      <c r="I8" s="2">
        <f>H8/1024</f>
        <v/>
      </c>
      <c r="J8" s="2" t="n"/>
      <c r="K8" s="2" t="n"/>
      <c r="L8" s="2" t="n"/>
    </row>
    <row r="9">
      <c r="A9" s="6" t="n">
        <v>2</v>
      </c>
      <c r="B9" s="6" t="n">
        <v>3</v>
      </c>
      <c r="C9" s="6" t="n">
        <v>256</v>
      </c>
      <c r="D9" s="6" t="inlineStr">
        <is>
          <t>dev</t>
        </is>
      </c>
      <c r="E9" s="7" t="n"/>
      <c r="F9" s="24" t="n"/>
      <c r="G9" s="24" t="n"/>
      <c r="H9" s="7" t="n"/>
      <c r="I9" s="6">
        <f>H9/1024</f>
        <v/>
      </c>
      <c r="J9" s="6" t="n"/>
      <c r="K9" s="6" t="n"/>
      <c r="L9" s="6" t="n"/>
    </row>
    <row r="11">
      <c r="A11" s="30" t="inlineStr">
        <is>
          <t>FULL MODE (actual STARK proof)</t>
        </is>
      </c>
    </row>
    <row r="12">
      <c r="A12" s="2" t="n">
        <v>1</v>
      </c>
      <c r="B12" s="2" t="n">
        <v>1</v>
      </c>
      <c r="C12" s="2" t="n">
        <v>16</v>
      </c>
      <c r="D12" s="2" t="inlineStr">
        <is>
          <t>full</t>
        </is>
      </c>
      <c r="E12" s="3" t="n"/>
      <c r="F12" s="23" t="n"/>
      <c r="G12" s="23" t="n"/>
      <c r="H12" s="3" t="n"/>
      <c r="I12" s="2">
        <f>H12/1024</f>
        <v/>
      </c>
      <c r="J12" s="2" t="n"/>
      <c r="K12" s="2" t="n"/>
      <c r="L12" s="2" t="n"/>
    </row>
    <row r="13">
      <c r="A13" s="6" t="n">
        <v>1</v>
      </c>
      <c r="B13" s="6" t="n">
        <v>3</v>
      </c>
      <c r="C13" s="6" t="n">
        <v>16</v>
      </c>
      <c r="D13" s="6" t="inlineStr">
        <is>
          <t>full</t>
        </is>
      </c>
      <c r="E13" s="7" t="n"/>
      <c r="F13" s="24" t="n"/>
      <c r="G13" s="24" t="n"/>
      <c r="H13" s="7" t="n"/>
      <c r="I13" s="6">
        <f>H13/1024</f>
        <v/>
      </c>
      <c r="J13" s="6" t="n"/>
      <c r="K13" s="6" t="n"/>
      <c r="L13" s="6" t="n"/>
    </row>
    <row r="14">
      <c r="A14" s="2" t="n">
        <v>2</v>
      </c>
      <c r="B14" s="2" t="n">
        <v>3</v>
      </c>
      <c r="C14" s="2" t="n">
        <v>64</v>
      </c>
      <c r="D14" s="2" t="inlineStr">
        <is>
          <t>full</t>
        </is>
      </c>
      <c r="E14" s="3" t="n"/>
      <c r="F14" s="23" t="n"/>
      <c r="G14" s="23" t="n"/>
      <c r="H14" s="3" t="n"/>
      <c r="I14" s="2">
        <f>H14/1024</f>
        <v/>
      </c>
      <c r="J14" s="2" t="n"/>
      <c r="K14" s="2" t="n"/>
      <c r="L14" s="2" t="n"/>
    </row>
  </sheetData>
  <mergeCells count="3">
    <mergeCell ref="A3:D3"/>
    <mergeCell ref="A1:L1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4"/>
  <cols>
    <col width="20" customWidth="1" style="28" min="1" max="1"/>
    <col width="28" customWidth="1" style="28" min="2" max="2"/>
    <col width="20" customWidth="1" style="28" min="3" max="3"/>
    <col width="22" customWidth="1" style="28" min="4" max="4"/>
    <col width="28" customWidth="1" style="28" min="5" max="5"/>
    <col width="20" customWidth="1" style="28" min="6" max="6"/>
    <col width="22" customWidth="1" style="28" min="7" max="7"/>
    <col width="24" customWidth="1" style="28" min="8" max="8"/>
  </cols>
  <sheetData>
    <row r="1">
      <c r="A1" s="27" t="inlineStr">
        <is>
          <t>Generated: 2026-04-13 21:37</t>
        </is>
      </c>
    </row>
    <row r="2" ht="30" customHeight="1" s="28">
      <c r="A2" s="1" t="inlineStr">
        <is>
          <t>Update Event</t>
        </is>
      </c>
      <c r="B2" s="1" t="inlineStr">
        <is>
          <t>Aurora: Artifacts Regenerated</t>
        </is>
      </c>
      <c r="C2" s="1" t="inlineStr">
        <is>
          <t>Aurora: Time Estimate</t>
        </is>
      </c>
      <c r="D2" s="1" t="inlineStr">
        <is>
          <t>Aurora: Bandwidth (bytes)</t>
        </is>
      </c>
      <c r="E2" s="1" t="inlineStr">
        <is>
          <t>zkVM: Artifacts Regenerated</t>
        </is>
      </c>
      <c r="F2" s="1" t="inlineStr">
        <is>
          <t>zkVM: Time Estimate</t>
        </is>
      </c>
      <c r="G2" s="1" t="inlineStr">
        <is>
          <t>zkVM: Bandwidth (bytes)</t>
        </is>
      </c>
      <c r="H2" s="1" t="inlineStr">
        <is>
          <t>Bandwidth Ratio (Aurora/zkVM)</t>
        </is>
      </c>
    </row>
    <row r="3">
      <c r="A3" s="2" t="inlineStr">
        <is>
          <t>Policy update</t>
        </is>
      </c>
      <c r="B3" s="2" t="inlineStr">
        <is>
          <t>R1CS, proving key, verification key</t>
        </is>
      </c>
      <c r="C3" s="2" t="inlineStr">
        <is>
          <t>Hours to days</t>
        </is>
      </c>
      <c r="D3" s="3" t="n">
        <v>33554432</v>
      </c>
      <c r="E3" s="2" t="inlineStr">
        <is>
          <t>Guest binary (recompile)</t>
        </is>
      </c>
      <c r="F3" s="2" t="inlineStr">
        <is>
          <t>Minutes</t>
        </is>
      </c>
      <c r="G3" s="3" t="n">
        <v>32</v>
      </c>
      <c r="H3" s="3">
        <f>D3/G3</f>
        <v/>
      </c>
    </row>
    <row r="4">
      <c r="A4" s="6" t="inlineStr">
        <is>
          <t>Algorithm rotation</t>
        </is>
      </c>
      <c r="B4" s="6" t="inlineStr">
        <is>
          <t>All circuit artifacts + keys</t>
        </is>
      </c>
      <c r="C4" s="6" t="inlineStr">
        <is>
          <t>Weeks to months</t>
        </is>
      </c>
      <c r="D4" s="7" t="n">
        <v>33554432</v>
      </c>
      <c r="E4" s="6" t="inlineStr">
        <is>
          <t>Guest binary + host logic</t>
        </is>
      </c>
      <c r="F4" s="6" t="inlineStr">
        <is>
          <t>Hours to days</t>
        </is>
      </c>
      <c r="G4" s="7" t="n">
        <v>32</v>
      </c>
      <c r="H4" s="7">
        <f>D4/G4</f>
        <v/>
      </c>
    </row>
    <row r="5">
      <c r="A5" s="2" t="inlineStr">
        <is>
          <t>Schema extension</t>
        </is>
      </c>
      <c r="B5" s="2" t="inlineStr">
        <is>
          <t>R1CS, keys, Noir source</t>
        </is>
      </c>
      <c r="C5" s="2" t="inlineStr">
        <is>
          <t>Days to weeks</t>
        </is>
      </c>
      <c r="D5" s="3" t="n">
        <v>33554432</v>
      </c>
      <c r="E5" s="2" t="inlineStr">
        <is>
          <t>Guest binary</t>
        </is>
      </c>
      <c r="F5" s="2" t="inlineStr">
        <is>
          <t>Hours</t>
        </is>
      </c>
      <c r="G5" s="3" t="n">
        <v>32</v>
      </c>
      <c r="H5" s="3">
        <f>D5/G5</f>
        <v/>
      </c>
    </row>
    <row r="6">
      <c r="A6" s="6" t="inlineStr">
        <is>
          <t>Parameter refresh</t>
        </is>
      </c>
      <c r="B6" s="6" t="inlineStr">
        <is>
          <t>Setup params, keys</t>
        </is>
      </c>
      <c r="C6" s="6" t="inlineStr">
        <is>
          <t>Hours</t>
        </is>
      </c>
      <c r="D6" s="7" t="n">
        <v>33554432</v>
      </c>
      <c r="E6" s="6" t="inlineStr">
        <is>
          <t>Config update</t>
        </is>
      </c>
      <c r="F6" s="6" t="inlineStr">
        <is>
          <t>Minutes</t>
        </is>
      </c>
      <c r="G6" s="7" t="n">
        <v>32</v>
      </c>
      <c r="H6" s="7">
        <f>D6/G6</f>
        <v/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4"/>
  <cols>
    <col width="28" customWidth="1" style="28" min="1" max="1"/>
    <col width="22" customWidth="1" style="28" min="2" max="4"/>
    <col width="40" customWidth="1" style="28" min="5" max="5"/>
  </cols>
  <sheetData>
    <row r="1">
      <c r="A1" s="27" t="inlineStr">
        <is>
          <t>Generated: 2026-04-13 21:37</t>
        </is>
      </c>
    </row>
    <row r="2" ht="15" customHeight="1" s="28">
      <c r="A2" s="1" t="inlineStr">
        <is>
          <t>Metric</t>
        </is>
      </c>
      <c r="B2" s="1" t="inlineStr">
        <is>
          <t>Aurora (Static Path)</t>
        </is>
      </c>
      <c r="C2" s="1" t="inlineStr">
        <is>
          <t>RISC Zero (zkVM)</t>
        </is>
      </c>
      <c r="D2" s="1" t="inlineStr">
        <is>
          <t>Ratio (zkVM/Aurora)</t>
        </is>
      </c>
      <c r="E2" s="1" t="inlineStr">
        <is>
          <t>Notes</t>
        </is>
      </c>
    </row>
    <row r="3">
      <c r="A3" s="2" t="inlineStr">
        <is>
          <t>Constraint count / Trace cycles</t>
        </is>
      </c>
      <c r="B3" s="2" t="n"/>
      <c r="C3" s="2" t="n"/>
      <c r="D3" s="2" t="n"/>
      <c r="E3" s="2" t="inlineStr">
        <is>
          <t>R1CS constraints vs RISC-V execution cycles</t>
        </is>
      </c>
    </row>
    <row r="4">
      <c r="A4" s="6" t="inlineStr">
        <is>
          <t>Prove time (s)</t>
        </is>
      </c>
      <c r="B4" s="6" t="n"/>
      <c r="C4" s="6" t="n"/>
      <c r="D4" s="47">
        <f>IF(AND(B4&lt;&gt;"",C4&lt;&gt;""),C4/B4,"")</f>
        <v/>
      </c>
      <c r="E4" s="6" t="inlineStr">
        <is>
          <t>Wall-clock proving time</t>
        </is>
      </c>
    </row>
    <row r="5">
      <c r="A5" s="2" t="inlineStr">
        <is>
          <t>Verify time (s)</t>
        </is>
      </c>
      <c r="B5" s="2" t="n"/>
      <c r="C5" s="2" t="n"/>
      <c r="D5" s="48">
        <f>IF(AND(B5&lt;&gt;"",C5&lt;&gt;""),C5/B5,"")</f>
        <v/>
      </c>
      <c r="E5" s="2" t="inlineStr">
        <is>
          <t>Wall-clock verification time</t>
        </is>
      </c>
    </row>
    <row r="6">
      <c r="A6" s="6" t="inlineStr">
        <is>
          <t>Proof size (bytes)</t>
        </is>
      </c>
      <c r="B6" s="6" t="n"/>
      <c r="C6" s="6" t="n"/>
      <c r="D6" s="47">
        <f>IF(AND(B6&lt;&gt;"",C6&lt;&gt;""),C6/B6,"")</f>
        <v/>
      </c>
      <c r="E6" s="6" t="inlineStr">
        <is>
          <t>Serialized proof artifact</t>
        </is>
      </c>
    </row>
    <row r="7">
      <c r="A7" s="2" t="inlineStr">
        <is>
          <t>Setup / compilation time</t>
        </is>
      </c>
      <c r="B7" s="2" t="n"/>
      <c r="C7" s="2" t="n"/>
      <c r="D7" s="2" t="n"/>
      <c r="E7" s="2" t="inlineStr">
        <is>
          <t>One-time cost</t>
        </is>
      </c>
    </row>
    <row r="8">
      <c r="A8" s="6" t="inlineStr">
        <is>
          <t>Verification key size (bytes)</t>
        </is>
      </c>
      <c r="B8" s="6" t="inlineStr">
        <is>
          <t>~32,000,000</t>
        </is>
      </c>
      <c r="C8" s="6" t="inlineStr">
        <is>
          <t>32</t>
        </is>
      </c>
      <c r="D8" s="47">
        <f>32000000/32</f>
        <v/>
      </c>
      <c r="E8" s="6" t="inlineStr">
        <is>
          <t>32 MB vs 32 B (ImageID)</t>
        </is>
      </c>
    </row>
    <row r="9">
      <c r="A9" s="2" t="inlineStr">
        <is>
          <t>Update churn (policy)</t>
        </is>
      </c>
      <c r="B9" s="2" t="inlineStr">
        <is>
          <t>Hours-days</t>
        </is>
      </c>
      <c r="C9" s="2" t="inlineStr">
        <is>
          <t>Minutes</t>
        </is>
      </c>
      <c r="D9" s="2" t="n"/>
      <c r="E9" s="2" t="inlineStr">
        <is>
          <t>D1 dimension</t>
        </is>
      </c>
    </row>
    <row r="10">
      <c r="A10" s="6" t="inlineStr">
        <is>
          <t>Field alignment (k)</t>
        </is>
      </c>
      <c r="B10" s="6" t="inlineStr">
        <is>
          <t>1 (native)</t>
        </is>
      </c>
      <c r="C10" s="6" t="inlineStr">
        <is>
          <t>4 (limbs)</t>
        </is>
      </c>
      <c r="D10" s="6" t="n"/>
      <c r="E10" s="6" t="inlineStr">
        <is>
          <t>p=2^127-1 on BabyBear p=2^31-2^27+1</t>
        </is>
      </c>
    </row>
    <row r="11">
      <c r="A11" s="2" t="inlineStr">
        <is>
          <t>Precompile advantage</t>
        </is>
      </c>
      <c r="B11" s="2" t="inlineStr">
        <is>
          <t>Griffin: 110 R1CS</t>
        </is>
      </c>
      <c r="C11" s="2" t="inlineStr">
        <is>
          <t>SHA-256: 68 cycles</t>
        </is>
      </c>
      <c r="D11" s="2" t="n"/>
      <c r="E11" s="2" t="inlineStr">
        <is>
          <t>Precompile Paradox</t>
        </is>
      </c>
    </row>
    <row r="12">
      <c r="A12" s="6" t="inlineStr">
        <is>
          <t>Agility Tax (estimated)</t>
        </is>
      </c>
      <c r="B12" s="6" t="n"/>
      <c r="C12" s="6" t="n"/>
      <c r="D12" s="6" t="n"/>
      <c r="E12" s="6" t="inlineStr">
        <is>
          <t>Multiplicative overhead: 7-30x theoretical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4"/>
  <cols>
    <col width="16" customWidth="1" style="28" min="1" max="1"/>
    <col width="20" customWidth="1" style="28" min="2" max="2"/>
    <col width="18" customWidth="1" style="28" min="3" max="3"/>
    <col width="34" customWidth="1" style="28" min="4" max="4"/>
    <col width="28" customWidth="1" style="28" min="5" max="5"/>
    <col width="18" customWidth="1" style="28" min="6" max="6"/>
    <col width="40" customWidth="1" style="28" min="7" max="7"/>
  </cols>
  <sheetData>
    <row r="1">
      <c r="A1" s="27" t="inlineStr">
        <is>
          <t>Generated: 2026-04-13 21:37</t>
        </is>
      </c>
    </row>
    <row r="2" ht="15" customHeight="1" s="28">
      <c r="A2" s="1" t="inlineStr">
        <is>
          <t>Version</t>
        </is>
      </c>
      <c r="B2" s="1" t="inlineStr">
        <is>
          <t>Security Level (λ)</t>
        </is>
      </c>
      <c r="C2" s="1" t="inlineStr">
        <is>
          <t>constraint_count</t>
        </is>
      </c>
      <c r="D2" s="1" t="inlineStr">
        <is>
          <t>proof_bytes_old (with residual_evals)</t>
        </is>
      </c>
      <c r="E2" s="1" t="inlineStr">
        <is>
          <t>proof_bytes_new (succinct)</t>
        </is>
      </c>
      <c r="F2" s="1" t="inlineStr">
        <is>
          <t>reduction_factor</t>
        </is>
      </c>
      <c r="G2" s="1" t="inlineStr">
        <is>
          <t>Notes</t>
        </is>
      </c>
    </row>
    <row r="3">
      <c r="A3" s="2" t="inlineStr">
        <is>
          <t>Pre-fix</t>
        </is>
      </c>
      <c r="B3" s="2" t="n">
        <v>80</v>
      </c>
      <c r="C3" s="3" t="n">
        <v>201192</v>
      </c>
      <c r="D3" s="3" t="n"/>
      <c r="E3" s="3" t="n">
        <v>32344</v>
      </c>
      <c r="F3" s="32" t="n"/>
      <c r="G3" s="2" t="inlineStr">
        <is>
          <t>λ=80, tiny params, kappa=20</t>
        </is>
      </c>
    </row>
    <row r="4">
      <c r="A4" s="6" t="inlineStr">
        <is>
          <t>Pre-fix</t>
        </is>
      </c>
      <c r="B4" s="6" t="n">
        <v>128</v>
      </c>
      <c r="C4" s="7" t="n">
        <v>246789</v>
      </c>
      <c r="D4" s="7" t="n"/>
      <c r="E4" s="7" t="n">
        <v>31592</v>
      </c>
      <c r="F4" s="34" t="n"/>
      <c r="G4" s="6" t="inlineStr">
        <is>
          <t>λ=128, kappa=32</t>
        </is>
      </c>
    </row>
    <row r="5">
      <c r="A5" s="2" t="inlineStr">
        <is>
          <t>Pre-fix</t>
        </is>
      </c>
      <c r="B5" s="2" t="n">
        <v>128</v>
      </c>
      <c r="C5" s="3" t="n">
        <v>996523</v>
      </c>
      <c r="D5" s="3" t="n">
        <v>33554432</v>
      </c>
      <c r="E5" s="3" t="n"/>
      <c r="F5" s="32" t="n"/>
      <c r="G5" s="2" t="inlineStr">
        <is>
          <t>PP2 k=2, m=64, rev=20 (from B7 old results)</t>
        </is>
      </c>
    </row>
    <row r="6">
      <c r="A6" s="6" t="inlineStr">
        <is>
          <t>Post-fix</t>
        </is>
      </c>
      <c r="B6" s="6" t="n">
        <v>80</v>
      </c>
      <c r="C6" s="7" t="n">
        <v>201192</v>
      </c>
      <c r="D6" s="7" t="n"/>
      <c r="E6" s="7" t="n">
        <v>32344</v>
      </c>
      <c r="F6" s="34">
        <f>IF(AND(D3&lt;&gt;"",E3&lt;&gt;""),D3/E3,"")</f>
        <v/>
      </c>
      <c r="G6" s="6" t="inlineStr">
        <is>
          <t>After residual_evals removal</t>
        </is>
      </c>
    </row>
    <row r="7">
      <c r="A7" s="2" t="inlineStr">
        <is>
          <t>Post-fix</t>
        </is>
      </c>
      <c r="B7" s="2" t="n">
        <v>128</v>
      </c>
      <c r="C7" s="3" t="n">
        <v>246789</v>
      </c>
      <c r="D7" s="3" t="n"/>
      <c r="E7" s="3" t="n">
        <v>31592</v>
      </c>
      <c r="F7" s="32">
        <f>IF(AND(D4&lt;&gt;"",E4&lt;&gt;""),D4/E4,"")</f>
        <v/>
      </c>
      <c r="G7" s="2" t="inlineStr">
        <is>
          <t>After residual_evals removal</t>
        </is>
      </c>
    </row>
    <row r="8">
      <c r="A8" s="6" t="inlineStr">
        <is>
          <t>Post-fix</t>
        </is>
      </c>
      <c r="B8" s="6" t="n">
        <v>128</v>
      </c>
      <c r="C8" s="7" t="n">
        <v>996523</v>
      </c>
      <c r="D8" s="7" t="n"/>
      <c r="E8" s="7" t="n"/>
      <c r="F8" s="34" t="n"/>
      <c r="G8" s="6" t="inlineStr">
        <is>
          <t>PP2 k=2 — fill from bench_runner results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2" customWidth="1" style="28" min="1" max="1"/>
    <col width="18" customWidth="1" style="28" min="2" max="2"/>
    <col width="16" customWidth="1" style="28" min="3" max="3"/>
    <col width="14" customWidth="1" style="28" min="4" max="4"/>
    <col width="16" customWidth="1" style="28" min="5" max="5"/>
    <col width="14" customWidth="1" style="28" min="6" max="6"/>
    <col width="14" customWidth="1" style="28" min="7" max="7"/>
    <col width="14" customWidth="1" style="28" min="8" max="8"/>
    <col width="10" customWidth="1" style="28" min="9" max="9"/>
  </cols>
  <sheetData>
    <row r="1">
      <c r="A1" s="38" t="inlineStr">
        <is>
          <t>Generated: 2026-04-16 01:13 — M5 Pro, rustc 1.94.1, git c7c5f49  (B7 aurora_rerun)</t>
        </is>
      </c>
    </row>
    <row r="2">
      <c r="A2" s="39" t="inlineStr">
        <is>
          <t>config_key</t>
        </is>
      </c>
      <c r="B2" s="39" t="inlineStr">
        <is>
          <t>metric</t>
        </is>
      </c>
      <c r="C2" s="39" t="inlineStr">
        <is>
          <t>mean</t>
        </is>
      </c>
      <c r="D2" s="39" t="inlineStr">
        <is>
          <t>std_dev</t>
        </is>
      </c>
      <c r="E2" s="39" t="inlineStr">
        <is>
          <t>median</t>
        </is>
      </c>
      <c r="F2" s="39" t="inlineStr">
        <is>
          <t>p95</t>
        </is>
      </c>
      <c r="G2" s="39" t="inlineStr">
        <is>
          <t>min</t>
        </is>
      </c>
      <c r="H2" s="39" t="inlineStr">
        <is>
          <t>max</t>
        </is>
      </c>
      <c r="I2" s="39" t="inlineStr">
        <is>
          <t>n_runs</t>
        </is>
      </c>
    </row>
    <row r="3">
      <c r="A3" t="inlineStr">
        <is>
          <t>k=2_lr=0_rev20</t>
        </is>
      </c>
      <c r="B3" t="inlineStr">
        <is>
          <t>constraint_count</t>
        </is>
      </c>
      <c r="C3" t="n">
        <v>996523</v>
      </c>
      <c r="D3" t="n">
        <v>0</v>
      </c>
      <c r="E3" t="n">
        <v>996523</v>
      </c>
      <c r="F3" t="n">
        <v>996523</v>
      </c>
      <c r="G3" t="n">
        <v>996523</v>
      </c>
      <c r="H3" t="n">
        <v>996523</v>
      </c>
      <c r="I3" t="n">
        <v>10</v>
      </c>
    </row>
    <row r="4">
      <c r="A4" t="inlineStr">
        <is>
          <t>k=2_lr=0_rev20</t>
        </is>
      </c>
      <c r="B4" t="inlineStr">
        <is>
          <t>indexer_ms</t>
        </is>
      </c>
      <c r="C4" t="n">
        <v>57234.26</v>
      </c>
      <c r="D4" t="n">
        <v>1520.65</v>
      </c>
      <c r="E4" t="n">
        <v>57364.91</v>
      </c>
      <c r="F4" t="n">
        <v>59420.23</v>
      </c>
      <c r="G4" t="n">
        <v>55276.61</v>
      </c>
      <c r="H4" t="n">
        <v>59471.43</v>
      </c>
      <c r="I4" t="n">
        <v>10</v>
      </c>
    </row>
    <row r="5">
      <c r="A5" t="inlineStr">
        <is>
          <t>k=2_lr=0_rev20</t>
        </is>
      </c>
      <c r="B5" t="inlineStr">
        <is>
          <t>prove_ms</t>
        </is>
      </c>
      <c r="C5" t="n">
        <v>83014.8</v>
      </c>
      <c r="D5" t="n">
        <v>2491.4</v>
      </c>
      <c r="E5" t="n">
        <v>81498.59</v>
      </c>
      <c r="F5" t="n">
        <v>86582.59</v>
      </c>
      <c r="G5" t="n">
        <v>80509.13</v>
      </c>
      <c r="H5" t="n">
        <v>86661.25999999999</v>
      </c>
      <c r="I5" t="n">
        <v>10</v>
      </c>
    </row>
    <row r="6">
      <c r="A6" t="inlineStr">
        <is>
          <t>k=2_lr=0_rev20</t>
        </is>
      </c>
      <c r="B6" t="inlineStr">
        <is>
          <t>verify_ms</t>
        </is>
      </c>
      <c r="C6" t="n">
        <v>51923.17</v>
      </c>
      <c r="D6" t="n">
        <v>1705.72</v>
      </c>
      <c r="E6" t="n">
        <v>51110.26</v>
      </c>
      <c r="F6" t="n">
        <v>54091.65</v>
      </c>
      <c r="G6" t="n">
        <v>50169.43</v>
      </c>
      <c r="H6" t="n">
        <v>54212.82</v>
      </c>
      <c r="I6" t="n">
        <v>10</v>
      </c>
    </row>
    <row r="7">
      <c r="A7" t="inlineStr">
        <is>
          <t>k=2_lr=0_rev20</t>
        </is>
      </c>
      <c r="B7" t="inlineStr">
        <is>
          <t>proof_bytes</t>
        </is>
      </c>
      <c r="C7" t="n">
        <v>33573372.8</v>
      </c>
      <c r="D7" t="n">
        <v>2987.1</v>
      </c>
      <c r="E7" t="n">
        <v>33572208</v>
      </c>
      <c r="F7" t="n">
        <v>33577699.2</v>
      </c>
      <c r="G7" t="n">
        <v>33569296</v>
      </c>
      <c r="H7" t="n">
        <v>33578448</v>
      </c>
      <c r="I7" t="n">
        <v>10</v>
      </c>
    </row>
    <row r="8">
      <c r="A8" t="inlineStr">
        <is>
          <t>k=1_lr=0_rev20_policy</t>
        </is>
      </c>
      <c r="B8" t="inlineStr">
        <is>
          <t>constraint_count</t>
        </is>
      </c>
      <c r="C8" t="n">
        <v>749392</v>
      </c>
      <c r="D8" t="n">
        <v>0</v>
      </c>
      <c r="E8" t="n">
        <v>749392</v>
      </c>
      <c r="F8" t="n">
        <v>749392</v>
      </c>
      <c r="G8" t="n">
        <v>749392</v>
      </c>
      <c r="H8" t="n">
        <v>749392</v>
      </c>
      <c r="I8" t="n">
        <v>10</v>
      </c>
    </row>
    <row r="9">
      <c r="A9" t="inlineStr">
        <is>
          <t>k=1_lr=0_rev20_policy</t>
        </is>
      </c>
      <c r="B9" t="inlineStr">
        <is>
          <t>indexer_ms</t>
        </is>
      </c>
      <c r="C9" t="n">
        <v>27731.36</v>
      </c>
      <c r="D9" t="n">
        <v>173.71</v>
      </c>
      <c r="E9" t="n">
        <v>27773.39</v>
      </c>
      <c r="F9" t="n">
        <v>27933.72</v>
      </c>
      <c r="G9" t="n">
        <v>27387.38</v>
      </c>
      <c r="H9" t="n">
        <v>27941.61</v>
      </c>
      <c r="I9" t="n">
        <v>9</v>
      </c>
    </row>
    <row r="10">
      <c r="A10" t="inlineStr">
        <is>
          <t>k=1_lr=0_rev20_policy</t>
        </is>
      </c>
      <c r="B10" t="inlineStr">
        <is>
          <t>prove_ms</t>
        </is>
      </c>
      <c r="C10" t="n">
        <v>66652.23</v>
      </c>
      <c r="D10" t="n">
        <v>448.37</v>
      </c>
      <c r="E10" t="n">
        <v>66583.98</v>
      </c>
      <c r="F10" t="n">
        <v>67361.27</v>
      </c>
      <c r="G10" t="n">
        <v>65911.33</v>
      </c>
      <c r="H10" t="n">
        <v>67618.74000000001</v>
      </c>
      <c r="I10" t="n">
        <v>10</v>
      </c>
    </row>
    <row r="11">
      <c r="A11" t="inlineStr">
        <is>
          <t>k=1_lr=0_rev20_policy</t>
        </is>
      </c>
      <c r="B11" t="inlineStr">
        <is>
          <t>verify_ms</t>
        </is>
      </c>
      <c r="C11" t="n">
        <v>37699.64</v>
      </c>
      <c r="D11" t="n">
        <v>220.75</v>
      </c>
      <c r="E11" t="n">
        <v>37664.39</v>
      </c>
      <c r="F11" t="n">
        <v>38031.55</v>
      </c>
      <c r="G11" t="n">
        <v>37350.45</v>
      </c>
      <c r="H11" t="n">
        <v>38055.14</v>
      </c>
      <c r="I11" t="n">
        <v>9</v>
      </c>
    </row>
    <row r="12">
      <c r="A12" t="inlineStr">
        <is>
          <t>k=1_lr=0_rev20_policy</t>
        </is>
      </c>
      <c r="B12" t="inlineStr">
        <is>
          <t>proof_bytes</t>
        </is>
      </c>
      <c r="C12" t="n">
        <v>33573123.2</v>
      </c>
      <c r="D12" t="n">
        <v>2207.55</v>
      </c>
      <c r="E12" t="n">
        <v>33573040</v>
      </c>
      <c r="F12" t="n">
        <v>33576409.6</v>
      </c>
      <c r="G12" t="n">
        <v>33569296</v>
      </c>
      <c r="H12" t="n">
        <v>33576784</v>
      </c>
      <c r="I12" t="n">
        <v>10</v>
      </c>
    </row>
    <row r="13">
      <c r="A13" t="inlineStr">
        <is>
          <t>k=2_lr=0_rev20</t>
        </is>
      </c>
      <c r="B13" t="inlineStr">
        <is>
          <t>constraint_count</t>
        </is>
      </c>
      <c r="C13" t="n">
        <v>996821</v>
      </c>
      <c r="D13" t="n">
        <v>0</v>
      </c>
      <c r="E13" t="n">
        <v>996821</v>
      </c>
      <c r="F13" t="n">
        <v>996821</v>
      </c>
      <c r="G13" t="n">
        <v>996821</v>
      </c>
      <c r="H13" t="n">
        <v>996821</v>
      </c>
      <c r="I13" t="n">
        <v>10</v>
      </c>
    </row>
    <row r="14">
      <c r="A14" t="inlineStr">
        <is>
          <t>k=2_lr=0_rev20</t>
        </is>
      </c>
      <c r="B14" t="inlineStr">
        <is>
          <t>indexer_ms</t>
        </is>
      </c>
      <c r="C14" t="n">
        <v>55917.55</v>
      </c>
      <c r="D14" t="n">
        <v>464.61</v>
      </c>
      <c r="E14" t="n">
        <v>55779.83</v>
      </c>
      <c r="F14" t="n">
        <v>56680.21</v>
      </c>
      <c r="G14" t="n">
        <v>55355.28</v>
      </c>
      <c r="H14" t="n">
        <v>56853.43</v>
      </c>
      <c r="I14" t="n">
        <v>10</v>
      </c>
    </row>
    <row r="15">
      <c r="A15" t="inlineStr">
        <is>
          <t>k=2_lr=0_rev20</t>
        </is>
      </c>
      <c r="B15" t="inlineStr">
        <is>
          <t>prove_ms</t>
        </is>
      </c>
      <c r="C15" t="n">
        <v>80865.41</v>
      </c>
      <c r="D15" t="n">
        <v>427.84</v>
      </c>
      <c r="E15" t="n">
        <v>80708.56</v>
      </c>
      <c r="F15" t="n">
        <v>81561.25</v>
      </c>
      <c r="G15" t="n">
        <v>80373.81</v>
      </c>
      <c r="H15" t="n">
        <v>81813.17</v>
      </c>
      <c r="I15" t="n">
        <v>9</v>
      </c>
    </row>
    <row r="16">
      <c r="A16" t="inlineStr">
        <is>
          <t>k=2_lr=0_rev20</t>
        </is>
      </c>
      <c r="B16" t="inlineStr">
        <is>
          <t>verify_ms</t>
        </is>
      </c>
      <c r="C16" t="n">
        <v>50900.59</v>
      </c>
      <c r="D16" t="n">
        <v>777.14</v>
      </c>
      <c r="E16" t="n">
        <v>50483.5</v>
      </c>
      <c r="F16" t="n">
        <v>52140.4</v>
      </c>
      <c r="G16" t="n">
        <v>50154.4</v>
      </c>
      <c r="H16" t="n">
        <v>52510.78</v>
      </c>
      <c r="I16" t="n">
        <v>9</v>
      </c>
    </row>
    <row r="17">
      <c r="A17" t="inlineStr">
        <is>
          <t>k=2_lr=0_rev20</t>
        </is>
      </c>
      <c r="B17" t="inlineStr">
        <is>
          <t>proof_bytes</t>
        </is>
      </c>
      <c r="C17" t="n">
        <v>33574454.4</v>
      </c>
      <c r="D17" t="n">
        <v>2064.97</v>
      </c>
      <c r="E17" t="n">
        <v>33573872</v>
      </c>
      <c r="F17" t="n">
        <v>33577699.2</v>
      </c>
      <c r="G17" t="n">
        <v>33570960</v>
      </c>
      <c r="H17" t="n">
        <v>33578448</v>
      </c>
      <c r="I17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style="28" min="1" max="1"/>
    <col width="22" customWidth="1" style="28" min="2" max="2"/>
    <col width="16" customWidth="1" style="28" min="3" max="3"/>
    <col width="16" customWidth="1" style="28" min="4" max="4"/>
    <col width="14" customWidth="1" style="28" min="5" max="5"/>
    <col width="16" customWidth="1" style="28" min="6" max="6"/>
    <col width="14" customWidth="1" style="28" min="7" max="7"/>
    <col width="14" customWidth="1" style="28" min="8" max="8"/>
    <col width="10" customWidth="1" style="28" min="9" max="9"/>
  </cols>
  <sheetData>
    <row r="1">
      <c r="A1" s="38" t="inlineStr">
        <is>
          <t>Generated: 2026-04-16 01:13 — M5 Pro  (B4 backend: aurora vs fractal on aurora_loquat_r1cs)</t>
        </is>
      </c>
    </row>
    <row r="2">
      <c r="A2" s="39" t="inlineStr">
        <is>
          <t>backend</t>
        </is>
      </c>
      <c r="B2" s="39" t="inlineStr">
        <is>
          <t>config_key</t>
        </is>
      </c>
      <c r="C2" s="39" t="inlineStr">
        <is>
          <t>metric</t>
        </is>
      </c>
      <c r="D2" s="39" t="inlineStr">
        <is>
          <t>mean</t>
        </is>
      </c>
      <c r="E2" s="39" t="inlineStr">
        <is>
          <t>std_dev</t>
        </is>
      </c>
      <c r="F2" s="39" t="inlineStr">
        <is>
          <t>median</t>
        </is>
      </c>
      <c r="G2" s="39" t="inlineStr">
        <is>
          <t>min</t>
        </is>
      </c>
      <c r="H2" s="39" t="inlineStr">
        <is>
          <t>max</t>
        </is>
      </c>
      <c r="I2" s="39" t="inlineStr">
        <is>
          <t>n_runs</t>
        </is>
      </c>
    </row>
    <row r="3">
      <c r="A3" t="inlineStr">
        <is>
          <t>aurora</t>
        </is>
      </c>
      <c r="B3" t="inlineStr">
        <is>
          <t>aurora_loquat_r1cs</t>
        </is>
      </c>
      <c r="C3" t="inlineStr">
        <is>
          <t>prove_ms</t>
        </is>
      </c>
      <c r="D3" t="n">
        <v>14077.16</v>
      </c>
      <c r="E3" t="n">
        <v>227.91</v>
      </c>
      <c r="F3" t="n">
        <v>14093.26</v>
      </c>
      <c r="G3" t="n">
        <v>13692.47</v>
      </c>
      <c r="H3" t="n">
        <v>14412.53</v>
      </c>
      <c r="I3" t="n">
        <v>10</v>
      </c>
    </row>
    <row r="4">
      <c r="A4" t="inlineStr">
        <is>
          <t>aurora</t>
        </is>
      </c>
      <c r="B4" t="inlineStr">
        <is>
          <t>aurora_loquat_r1cs</t>
        </is>
      </c>
      <c r="C4" t="inlineStr">
        <is>
          <t>verify_ms</t>
        </is>
      </c>
      <c r="D4" t="n">
        <v>6260.02</v>
      </c>
      <c r="E4" t="n">
        <v>46.56</v>
      </c>
      <c r="F4" t="n">
        <v>6255</v>
      </c>
      <c r="G4" t="n">
        <v>6191.41</v>
      </c>
      <c r="H4" t="n">
        <v>6319.39</v>
      </c>
      <c r="I4" t="n">
        <v>8</v>
      </c>
    </row>
    <row r="5">
      <c r="A5" t="inlineStr">
        <is>
          <t>aurora</t>
        </is>
      </c>
      <c r="B5" t="inlineStr">
        <is>
          <t>aurora_loquat_r1cs</t>
        </is>
      </c>
      <c r="C5" t="inlineStr">
        <is>
          <t>proof_bytes</t>
        </is>
      </c>
      <c r="D5" t="n">
        <v>8407328</v>
      </c>
      <c r="E5" t="n">
        <v>0</v>
      </c>
      <c r="F5" t="n">
        <v>8407328</v>
      </c>
      <c r="G5" t="n">
        <v>8407328</v>
      </c>
      <c r="H5" t="n">
        <v>8407328</v>
      </c>
      <c r="I5" t="n">
        <v>10</v>
      </c>
    </row>
    <row r="6">
      <c r="A6" t="inlineStr">
        <is>
          <t>fractal</t>
        </is>
      </c>
      <c r="B6" t="inlineStr">
        <is>
          <t>fractal_loquat_r1cs</t>
        </is>
      </c>
      <c r="C6" t="inlineStr">
        <is>
          <t>prove_ms</t>
        </is>
      </c>
      <c r="D6" t="n">
        <v>14226.74</v>
      </c>
      <c r="E6" t="n">
        <v>221.6</v>
      </c>
      <c r="F6" t="n">
        <v>14116.08</v>
      </c>
      <c r="G6" t="n">
        <v>13958.81</v>
      </c>
      <c r="H6" t="n">
        <v>14652.97</v>
      </c>
      <c r="I6" t="n">
        <v>10</v>
      </c>
    </row>
    <row r="7">
      <c r="A7" t="inlineStr">
        <is>
          <t>fractal</t>
        </is>
      </c>
      <c r="B7" t="inlineStr">
        <is>
          <t>fractal_loquat_r1cs</t>
        </is>
      </c>
      <c r="C7" t="inlineStr">
        <is>
          <t>verify_ms</t>
        </is>
      </c>
      <c r="D7" t="n">
        <v>6382.83</v>
      </c>
      <c r="E7" t="n">
        <v>24.17</v>
      </c>
      <c r="F7" t="n">
        <v>6384.61</v>
      </c>
      <c r="G7" t="n">
        <v>6349.29</v>
      </c>
      <c r="H7" t="n">
        <v>6431.45</v>
      </c>
      <c r="I7" t="n">
        <v>9</v>
      </c>
    </row>
    <row r="8">
      <c r="A8" t="inlineStr">
        <is>
          <t>fractal</t>
        </is>
      </c>
      <c r="B8" t="inlineStr">
        <is>
          <t>fractal_loquat_r1cs</t>
        </is>
      </c>
      <c r="C8" t="inlineStr">
        <is>
          <t>proof_bytes</t>
        </is>
      </c>
      <c r="D8" t="n">
        <v>8409768</v>
      </c>
      <c r="E8" t="n">
        <v>0</v>
      </c>
      <c r="F8" t="n">
        <v>8409768</v>
      </c>
      <c r="G8" t="n">
        <v>8409768</v>
      </c>
      <c r="H8" t="n">
        <v>8409768</v>
      </c>
      <c r="I8" t="n">
        <v>10</v>
      </c>
    </row>
    <row r="10">
      <c r="A10" s="38" t="inlineStr">
        <is>
          <t>Derived Δ% (Fractal vs Aurora)</t>
        </is>
      </c>
    </row>
    <row r="11">
      <c r="A11" t="inlineStr">
        <is>
          <t>prove_ms</t>
        </is>
      </c>
      <c r="B11" t="inlineStr">
        <is>
          <t>aurora=14077.2</t>
        </is>
      </c>
      <c r="C11" t="inlineStr">
        <is>
          <t>fractal=14226.7</t>
        </is>
      </c>
      <c r="D11" t="inlineStr">
        <is>
          <t>Δ=+1.1%</t>
        </is>
      </c>
    </row>
    <row r="12">
      <c r="A12" t="inlineStr">
        <is>
          <t>verify_ms</t>
        </is>
      </c>
      <c r="B12" t="inlineStr">
        <is>
          <t>aurora=6260.0</t>
        </is>
      </c>
      <c r="C12" t="inlineStr">
        <is>
          <t>fractal=6382.8</t>
        </is>
      </c>
      <c r="D12" t="inlineStr">
        <is>
          <t>Δ=+2.0%</t>
        </is>
      </c>
    </row>
    <row r="13">
      <c r="A13" t="inlineStr">
        <is>
          <t>proof_bytes</t>
        </is>
      </c>
      <c r="B13" t="inlineStr">
        <is>
          <t>aurora=8407328.0</t>
        </is>
      </c>
      <c r="C13" t="inlineStr">
        <is>
          <t>fractal=8409768.0</t>
        </is>
      </c>
      <c r="D13" t="inlineStr">
        <is>
          <t>Δ=+0.0%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8" customWidth="1" style="28" min="1" max="1"/>
    <col width="12" customWidth="1" style="28" min="2" max="2"/>
    <col width="14" customWidth="1" style="28" min="3" max="3"/>
    <col width="20" customWidth="1" style="28" min="4" max="4"/>
  </cols>
  <sheetData>
    <row r="1">
      <c r="A1" s="38" t="inlineStr">
        <is>
          <t>Generated: 2026-04-16 01:13 — M5 Pro  (B3 circuit_scale, k×rev×policy; constraint counts only)</t>
        </is>
      </c>
    </row>
    <row r="2">
      <c r="A2" s="39" t="inlineStr">
        <is>
          <t>k</t>
        </is>
      </c>
      <c r="B2" s="39" t="inlineStr">
        <is>
          <t>rev_depth</t>
        </is>
      </c>
      <c r="C2" s="39" t="inlineStr">
        <is>
          <t>policy</t>
        </is>
      </c>
      <c r="D2" s="39" t="inlineStr">
        <is>
          <t>constraint_count</t>
        </is>
      </c>
    </row>
    <row r="3">
      <c r="A3" t="n">
        <v>1</v>
      </c>
      <c r="B3" t="n">
        <v>10</v>
      </c>
      <c r="C3" t="inlineStr">
        <is>
          <t>gpa</t>
        </is>
      </c>
      <c r="D3" t="n">
        <v>746265</v>
      </c>
    </row>
    <row r="4">
      <c r="A4" t="n">
        <v>1</v>
      </c>
      <c r="B4" t="n">
        <v>10</v>
      </c>
      <c r="C4" t="inlineStr">
        <is>
          <t>gpa</t>
        </is>
      </c>
      <c r="D4" t="n">
        <v>746272</v>
      </c>
    </row>
    <row r="5">
      <c r="A5" t="n">
        <v>1</v>
      </c>
      <c r="B5" t="n">
        <v>10</v>
      </c>
      <c r="C5" t="inlineStr">
        <is>
          <t>none</t>
        </is>
      </c>
      <c r="D5" t="n">
        <v>745974</v>
      </c>
    </row>
    <row r="6">
      <c r="A6" t="n">
        <v>1</v>
      </c>
      <c r="B6" t="n">
        <v>20</v>
      </c>
      <c r="C6" t="inlineStr">
        <is>
          <t>gpa</t>
        </is>
      </c>
      <c r="D6" t="n">
        <v>749385</v>
      </c>
    </row>
    <row r="7">
      <c r="A7" t="n">
        <v>1</v>
      </c>
      <c r="B7" t="n">
        <v>20</v>
      </c>
      <c r="C7" t="inlineStr">
        <is>
          <t>gpa</t>
        </is>
      </c>
      <c r="D7" t="n">
        <v>749392</v>
      </c>
    </row>
    <row r="8">
      <c r="A8" t="n">
        <v>1</v>
      </c>
      <c r="B8" t="n">
        <v>20</v>
      </c>
      <c r="C8" t="inlineStr">
        <is>
          <t>none</t>
        </is>
      </c>
      <c r="D8" t="n">
        <v>749094</v>
      </c>
    </row>
    <row r="9">
      <c r="A9" t="n">
        <v>2</v>
      </c>
      <c r="B9" t="n">
        <v>10</v>
      </c>
      <c r="C9" t="inlineStr">
        <is>
          <t>gpa</t>
        </is>
      </c>
      <c r="D9" t="n">
        <v>993694</v>
      </c>
    </row>
    <row r="10">
      <c r="A10" t="n">
        <v>2</v>
      </c>
      <c r="B10" t="n">
        <v>10</v>
      </c>
      <c r="C10" t="inlineStr">
        <is>
          <t>gpa</t>
        </is>
      </c>
      <c r="D10" t="n">
        <v>993701</v>
      </c>
    </row>
    <row r="11">
      <c r="A11" t="n">
        <v>2</v>
      </c>
      <c r="B11" t="n">
        <v>10</v>
      </c>
      <c r="C11" t="inlineStr">
        <is>
          <t>none</t>
        </is>
      </c>
      <c r="D11" t="n">
        <v>993403</v>
      </c>
    </row>
    <row r="12">
      <c r="A12" t="n">
        <v>2</v>
      </c>
      <c r="B12" t="n">
        <v>20</v>
      </c>
      <c r="C12" t="inlineStr">
        <is>
          <t>gpa</t>
        </is>
      </c>
      <c r="D12" t="n">
        <v>996814</v>
      </c>
    </row>
    <row r="13">
      <c r="A13" t="n">
        <v>2</v>
      </c>
      <c r="B13" t="n">
        <v>20</v>
      </c>
      <c r="C13" t="inlineStr">
        <is>
          <t>gpa</t>
        </is>
      </c>
      <c r="D13" t="n">
        <v>996821</v>
      </c>
    </row>
    <row r="14">
      <c r="A14" t="n">
        <v>2</v>
      </c>
      <c r="B14" t="n">
        <v>20</v>
      </c>
      <c r="C14" t="inlineStr">
        <is>
          <t>none</t>
        </is>
      </c>
      <c r="D14" t="n">
        <v>996523</v>
      </c>
    </row>
    <row r="15">
      <c r="A15" t="n">
        <v>4</v>
      </c>
      <c r="B15" t="n">
        <v>10</v>
      </c>
      <c r="C15" t="inlineStr">
        <is>
          <t>gpa</t>
        </is>
      </c>
      <c r="D15" t="n">
        <v>1488552</v>
      </c>
    </row>
    <row r="16">
      <c r="A16" t="n">
        <v>4</v>
      </c>
      <c r="B16" t="n">
        <v>10</v>
      </c>
      <c r="C16" t="inlineStr">
        <is>
          <t>gpa</t>
        </is>
      </c>
      <c r="D16" t="n">
        <v>1488559</v>
      </c>
    </row>
    <row r="17">
      <c r="A17" t="n">
        <v>4</v>
      </c>
      <c r="B17" t="n">
        <v>10</v>
      </c>
      <c r="C17" t="inlineStr">
        <is>
          <t>none</t>
        </is>
      </c>
      <c r="D17" t="n">
        <v>1488261</v>
      </c>
    </row>
    <row r="18">
      <c r="A18" t="n">
        <v>4</v>
      </c>
      <c r="B18" t="n">
        <v>20</v>
      </c>
      <c r="C18" t="inlineStr">
        <is>
          <t>gpa</t>
        </is>
      </c>
      <c r="D18" t="n">
        <v>1491672</v>
      </c>
    </row>
    <row r="19">
      <c r="A19" t="n">
        <v>4</v>
      </c>
      <c r="B19" t="n">
        <v>20</v>
      </c>
      <c r="C19" t="inlineStr">
        <is>
          <t>gpa</t>
        </is>
      </c>
      <c r="D19" t="n">
        <v>1491679</v>
      </c>
    </row>
    <row r="20">
      <c r="A20" t="n">
        <v>4</v>
      </c>
      <c r="B20" t="n">
        <v>20</v>
      </c>
      <c r="C20" t="inlineStr">
        <is>
          <t>none</t>
        </is>
      </c>
      <c r="D20" t="n">
        <v>1491381</v>
      </c>
    </row>
    <row r="21">
      <c r="A21" t="n">
        <v>6</v>
      </c>
      <c r="B21" t="n">
        <v>10</v>
      </c>
      <c r="C21" t="inlineStr">
        <is>
          <t>gpa</t>
        </is>
      </c>
      <c r="D21" t="n">
        <v>1983410</v>
      </c>
    </row>
    <row r="22">
      <c r="A22" t="n">
        <v>6</v>
      </c>
      <c r="B22" t="n">
        <v>10</v>
      </c>
      <c r="C22" t="inlineStr">
        <is>
          <t>gpa</t>
        </is>
      </c>
      <c r="D22" t="n">
        <v>1983417</v>
      </c>
    </row>
    <row r="23">
      <c r="A23" t="n">
        <v>6</v>
      </c>
      <c r="B23" t="n">
        <v>10</v>
      </c>
      <c r="C23" t="inlineStr">
        <is>
          <t>none</t>
        </is>
      </c>
      <c r="D23" t="n">
        <v>1983119</v>
      </c>
    </row>
    <row r="24">
      <c r="A24" t="n">
        <v>6</v>
      </c>
      <c r="B24" t="n">
        <v>20</v>
      </c>
      <c r="C24" t="inlineStr">
        <is>
          <t>gpa</t>
        </is>
      </c>
      <c r="D24" t="n">
        <v>1986530</v>
      </c>
    </row>
    <row r="25">
      <c r="A25" t="n">
        <v>6</v>
      </c>
      <c r="B25" t="n">
        <v>20</v>
      </c>
      <c r="C25" t="inlineStr">
        <is>
          <t>gpa</t>
        </is>
      </c>
      <c r="D25" t="n">
        <v>1986537</v>
      </c>
    </row>
    <row r="26">
      <c r="A26" t="n">
        <v>6</v>
      </c>
      <c r="B26" t="n">
        <v>20</v>
      </c>
      <c r="C26" t="inlineStr">
        <is>
          <t>none</t>
        </is>
      </c>
      <c r="D26" t="n">
        <v>1986239</v>
      </c>
    </row>
    <row r="27">
      <c r="A27" t="n">
        <v>8</v>
      </c>
      <c r="B27" t="n">
        <v>10</v>
      </c>
      <c r="C27" t="inlineStr">
        <is>
          <t>gpa</t>
        </is>
      </c>
      <c r="D27" t="n">
        <v>2478268</v>
      </c>
    </row>
    <row r="28">
      <c r="A28" t="n">
        <v>8</v>
      </c>
      <c r="B28" t="n">
        <v>10</v>
      </c>
      <c r="C28" t="inlineStr">
        <is>
          <t>gpa</t>
        </is>
      </c>
      <c r="D28" t="n">
        <v>2478275</v>
      </c>
    </row>
    <row r="29">
      <c r="A29" t="n">
        <v>8</v>
      </c>
      <c r="B29" t="n">
        <v>10</v>
      </c>
      <c r="C29" t="inlineStr">
        <is>
          <t>none</t>
        </is>
      </c>
      <c r="D29" t="n">
        <v>2477977</v>
      </c>
    </row>
    <row r="30">
      <c r="A30" t="n">
        <v>8</v>
      </c>
      <c r="B30" t="n">
        <v>20</v>
      </c>
      <c r="C30" t="inlineStr">
        <is>
          <t>gpa</t>
        </is>
      </c>
      <c r="D30" t="n">
        <v>2481388</v>
      </c>
    </row>
    <row r="31">
      <c r="A31" t="n">
        <v>8</v>
      </c>
      <c r="B31" t="n">
        <v>20</v>
      </c>
      <c r="C31" t="inlineStr">
        <is>
          <t>gpa</t>
        </is>
      </c>
      <c r="D31" t="n">
        <v>2481395</v>
      </c>
    </row>
    <row r="32">
      <c r="A32" t="n">
        <v>8</v>
      </c>
      <c r="B32" t="n">
        <v>20</v>
      </c>
      <c r="C32" t="inlineStr">
        <is>
          <t>none</t>
        </is>
      </c>
      <c r="D32" t="n">
        <v>2481097</v>
      </c>
    </row>
    <row r="33">
      <c r="A33" t="n">
        <v>14</v>
      </c>
      <c r="B33" t="n">
        <v>10</v>
      </c>
      <c r="C33" t="inlineStr">
        <is>
          <t>gpa</t>
        </is>
      </c>
      <c r="D33" t="n">
        <v>3962842</v>
      </c>
    </row>
    <row r="34">
      <c r="A34" t="n">
        <v>14</v>
      </c>
      <c r="B34" t="n">
        <v>10</v>
      </c>
      <c r="C34" t="inlineStr">
        <is>
          <t>gpa</t>
        </is>
      </c>
      <c r="D34" t="n">
        <v>3962849</v>
      </c>
    </row>
    <row r="35">
      <c r="A35" t="n">
        <v>14</v>
      </c>
      <c r="B35" t="n">
        <v>10</v>
      </c>
      <c r="C35" t="inlineStr">
        <is>
          <t>none</t>
        </is>
      </c>
      <c r="D35" t="n">
        <v>3962551</v>
      </c>
    </row>
    <row r="36">
      <c r="A36" t="n">
        <v>14</v>
      </c>
      <c r="B36" t="n">
        <v>20</v>
      </c>
      <c r="C36" t="inlineStr">
        <is>
          <t>gpa</t>
        </is>
      </c>
      <c r="D36" t="n">
        <v>3965962</v>
      </c>
    </row>
    <row r="37">
      <c r="A37" t="n">
        <v>14</v>
      </c>
      <c r="B37" t="n">
        <v>20</v>
      </c>
      <c r="C37" t="inlineStr">
        <is>
          <t>gpa</t>
        </is>
      </c>
      <c r="D37" t="n">
        <v>3965969</v>
      </c>
    </row>
    <row r="38">
      <c r="A38" t="n">
        <v>14</v>
      </c>
      <c r="B38" t="n">
        <v>20</v>
      </c>
      <c r="C38" t="inlineStr">
        <is>
          <t>none</t>
        </is>
      </c>
      <c r="D38" t="n">
        <v>3965671</v>
      </c>
    </row>
    <row r="40">
      <c r="A40" s="38" t="inlineStr">
        <is>
          <t>Linear fit (pol=none, rev=20): N_C(k) = a + b·k</t>
        </is>
      </c>
    </row>
    <row r="41">
      <c r="A41" t="inlineStr">
        <is>
          <t>slope b</t>
        </is>
      </c>
      <c r="B41" t="n">
        <v>247429</v>
      </c>
    </row>
    <row r="42">
      <c r="A42" t="inlineStr">
        <is>
          <t>intercept a</t>
        </is>
      </c>
      <c r="B42" t="n">
        <v>501665</v>
      </c>
    </row>
    <row r="43">
      <c r="A43" t="inlineStr">
        <is>
          <t>R²</t>
        </is>
      </c>
      <c r="B4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style="28" min="1" max="1"/>
    <col width="32" customWidth="1" style="28" min="2" max="2"/>
    <col width="22" customWidth="1" style="28" min="3" max="3"/>
    <col width="16" customWidth="1" style="28" min="4" max="4"/>
    <col width="14" customWidth="1" style="28" min="5" max="5"/>
    <col width="16" customWidth="1" style="28" min="6" max="6"/>
    <col width="10" customWidth="1" style="28" min="7" max="7"/>
  </cols>
  <sheetData>
    <row r="1">
      <c r="A1" s="38" t="inlineStr">
        <is>
          <t>Generated: 2026-04-16 01:13 — M5 Pro  (B1 noir: nargo compile + acir opcodes)</t>
        </is>
      </c>
    </row>
    <row r="2">
      <c r="A2" s="39" t="inlineStr">
        <is>
          <t>variant</t>
        </is>
      </c>
      <c r="B2" s="39" t="inlineStr">
        <is>
          <t>config_key</t>
        </is>
      </c>
      <c r="C2" s="39" t="inlineStr">
        <is>
          <t>metric</t>
        </is>
      </c>
      <c r="D2" s="39" t="inlineStr">
        <is>
          <t>mean</t>
        </is>
      </c>
      <c r="E2" s="39" t="inlineStr">
        <is>
          <t>std_dev</t>
        </is>
      </c>
      <c r="F2" s="39" t="inlineStr">
        <is>
          <t>median</t>
        </is>
      </c>
      <c r="G2" s="39" t="inlineStr">
        <is>
          <t>n_runs</t>
        </is>
      </c>
    </row>
    <row r="3">
      <c r="A3" t="inlineStr">
        <is>
          <t>nargo_compile</t>
        </is>
      </c>
      <c r="B3" t="inlineStr">
        <is>
          <t>compile_opt=default</t>
        </is>
      </c>
      <c r="C3" t="inlineStr">
        <is>
          <t>compile_ms</t>
        </is>
      </c>
      <c r="D3" t="n">
        <v>47.902</v>
      </c>
      <c r="E3" t="n">
        <v>0.245</v>
      </c>
      <c r="F3" t="n">
        <v>47.914</v>
      </c>
      <c r="G3" t="n">
        <v>8</v>
      </c>
    </row>
    <row r="4">
      <c r="A4" t="inlineStr">
        <is>
          <t>nargo_compile</t>
        </is>
      </c>
      <c r="B4" t="inlineStr">
        <is>
          <t>compile_opt=aggressive</t>
        </is>
      </c>
      <c r="C4" t="inlineStr">
        <is>
          <t>compile_ms</t>
        </is>
      </c>
      <c r="D4" t="n">
        <v>48.161</v>
      </c>
      <c r="E4" t="n">
        <v>0.364</v>
      </c>
      <c r="F4" t="n">
        <v>47.99</v>
      </c>
      <c r="G4" t="n">
        <v>9</v>
      </c>
    </row>
    <row r="5">
      <c r="A5" t="inlineStr">
        <is>
          <t>acir_pipeline</t>
        </is>
      </c>
      <c r="B5" t="inlineStr">
        <is>
          <t>bdec_showver_acir_pipeline</t>
        </is>
      </c>
      <c r="C5" t="inlineStr">
        <is>
          <t>constraint_count</t>
        </is>
      </c>
      <c r="D5" t="n">
        <v>2866</v>
      </c>
      <c r="E5" t="n">
        <v>0</v>
      </c>
      <c r="F5" t="n">
        <v>2866</v>
      </c>
      <c r="G5" t="n">
        <v>10</v>
      </c>
    </row>
    <row r="7">
      <c r="A7" s="49" t="inlineStr">
        <is>
          <t>Note: acir_opcodes=2866 reflects Noir compile output with loquat_lib stubs; it does NOT equal the Loquat R1CS constraint count. See B2 sheet.</t>
        </is>
      </c>
    </row>
  </sheetData>
  <mergeCells count="1">
    <mergeCell ref="A7:G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style="28" min="1" max="1"/>
    <col width="28" customWidth="1" style="28" min="2" max="2"/>
    <col width="22" customWidth="1" style="28" min="3" max="3"/>
    <col width="16" customWidth="1" style="28" min="4" max="4"/>
    <col width="70" customWidth="1" style="28" min="5" max="5"/>
  </cols>
  <sheetData>
    <row r="1">
      <c r="A1" s="38" t="inlineStr">
        <is>
          <t>Generated: 2026-04-16 01:13 — M5 Pro  (B2 r1cs_compare)</t>
        </is>
      </c>
    </row>
    <row r="2">
      <c r="A2" s="39" t="inlineStr">
        <is>
          <t>variant</t>
        </is>
      </c>
      <c r="B2" s="39" t="inlineStr">
        <is>
          <t>source</t>
        </is>
      </c>
      <c r="C2" s="39" t="inlineStr">
        <is>
          <t>metric</t>
        </is>
      </c>
      <c r="D2" s="39" t="inlineStr">
        <is>
          <t>value</t>
        </is>
      </c>
      <c r="E2" s="39" t="inlineStr">
        <is>
          <t>note</t>
        </is>
      </c>
    </row>
    <row r="3">
      <c r="A3" t="inlineStr">
        <is>
          <t>hand_written_build</t>
        </is>
      </c>
      <c r="B3" t="inlineStr">
        <is>
          <t>hand_written</t>
        </is>
      </c>
      <c r="C3" t="inlineStr">
        <is>
          <t>constraint_count</t>
        </is>
      </c>
      <c r="D3" t="n">
        <v>246629</v>
      </c>
    </row>
    <row r="4">
      <c r="A4" t="inlineStr">
        <is>
          <t>hand_written_build</t>
        </is>
      </c>
      <c r="B4" t="inlineStr">
        <is>
          <t>hand_written</t>
        </is>
      </c>
      <c r="C4" t="inlineStr">
        <is>
          <t>witness_vars</t>
        </is>
      </c>
      <c r="D4" t="n">
        <v>247379</v>
      </c>
    </row>
    <row r="5">
      <c r="A5" t="inlineStr">
        <is>
          <t>noir_info_only</t>
        </is>
      </c>
      <c r="B5" t="inlineStr">
        <is>
          <t>nargo_info_json</t>
        </is>
      </c>
      <c r="C5" t="inlineStr">
        <is>
          <t>acir_opcodes</t>
        </is>
      </c>
      <c r="D5" t="n">
        <v>2866</v>
      </c>
    </row>
    <row r="6">
      <c r="A6" t="inlineStr">
        <is>
          <t>noir_info_only</t>
        </is>
      </c>
      <c r="B6" t="inlineStr">
        <is>
          <t>nargo_info_json</t>
        </is>
      </c>
      <c r="C6" t="inlineStr">
        <is>
          <t>brillig_opcodes</t>
        </is>
      </c>
      <c r="D6" t="n">
        <v>0</v>
      </c>
    </row>
    <row r="7">
      <c r="A7" t="inlineStr">
        <is>
          <t>noir_info_only</t>
        </is>
      </c>
      <c r="B7" t="inlineStr">
        <is>
          <t>nargo_info_json</t>
        </is>
      </c>
      <c r="C7" t="inlineStr">
        <is>
          <t>hw_constraints_ref</t>
        </is>
      </c>
      <c r="D7" t="n">
        <v>246629</v>
      </c>
    </row>
    <row r="8">
      <c r="E8" t="inlineStr">
        <is>
          <t>R1CS conversion unavailable (binary ACIR or schema mismatch); loquat_lib stubs return true so opcodes do not reflect real Loquat cost</t>
        </is>
      </c>
    </row>
    <row r="10">
      <c r="A10" s="50" t="inlineStr">
        <is>
          <t>⚠ B2 DEGRADED — Noir→R1CS loader does not decode binary ACIR in nargo ≥ 1.0.0-beta.17; only hand-written side has a real constraint count. See methodology footnote in 06-evaluation.tex.</t>
        </is>
      </c>
    </row>
  </sheetData>
  <mergeCells count="1">
    <mergeCell ref="A10:E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style="28" min="1" max="1"/>
    <col width="42" customWidth="1" style="28" min="2" max="2"/>
    <col width="14" customWidth="1" style="28" min="3" max="3"/>
    <col width="14" customWidth="1" style="28" min="4" max="4"/>
    <col width="12" customWidth="1" style="28" min="5" max="5"/>
    <col width="38" customWidth="1" style="28" min="6" max="6"/>
  </cols>
  <sheetData>
    <row r="1">
      <c r="A1" s="38" t="inlineStr">
        <is>
          <t>Generated: 2026-04-16 01:13 — proof sizes observed on M5 Pro</t>
        </is>
      </c>
    </row>
    <row r="2">
      <c r="A2" s="39" t="inlineStr">
        <is>
          <t>source</t>
        </is>
      </c>
      <c r="B2" s="39" t="inlineStr">
        <is>
          <t>circuit</t>
        </is>
      </c>
      <c r="C2" s="39" t="inlineStr">
        <is>
          <t>constraints</t>
        </is>
      </c>
      <c r="D2" s="39" t="inlineStr">
        <is>
          <t>proof_bytes</t>
        </is>
      </c>
      <c r="E2" s="39" t="inlineStr">
        <is>
          <t>proof_KiB</t>
        </is>
      </c>
      <c r="F2" s="39" t="inlineStr">
        <is>
          <t>notes</t>
        </is>
      </c>
    </row>
    <row r="3">
      <c r="A3" t="inlineStr">
        <is>
          <t>B4 backend</t>
        </is>
      </c>
      <c r="B3" t="inlineStr">
        <is>
          <t>aurora/aurora_loquat_r1cs</t>
        </is>
      </c>
      <c r="C3" t="inlineStr">
        <is>
          <t>~246K</t>
        </is>
      </c>
      <c r="D3" t="n">
        <v>8407328</v>
      </c>
      <c r="E3" t="n">
        <v>8210.299999999999</v>
      </c>
      <c r="F3" t="inlineStr">
        <is>
          <t>aurora_loquat_r1cs</t>
        </is>
      </c>
    </row>
    <row r="4">
      <c r="A4" t="inlineStr">
        <is>
          <t>B4 backend</t>
        </is>
      </c>
      <c r="B4" t="inlineStr">
        <is>
          <t>fractal/fractal_loquat_r1cs</t>
        </is>
      </c>
      <c r="C4" t="inlineStr">
        <is>
          <t>~246K</t>
        </is>
      </c>
      <c r="D4" t="n">
        <v>8409768</v>
      </c>
      <c r="E4" t="n">
        <v>8212.700000000001</v>
      </c>
      <c r="F4" t="inlineStr">
        <is>
          <t>aurora_loquat_r1cs</t>
        </is>
      </c>
    </row>
    <row r="5">
      <c r="A5" t="inlineStr">
        <is>
          <t>B5 griffin</t>
        </is>
      </c>
      <c r="B5" t="inlineStr">
        <is>
          <t>full_credential/full_k=2_m=64_rev20</t>
        </is>
      </c>
      <c r="C5" t="n">
        <v>996523</v>
      </c>
      <c r="D5" t="n">
        <v>33572873</v>
      </c>
      <c r="E5" t="n">
        <v>32786</v>
      </c>
      <c r="F5" t="inlineStr">
        <is>
          <t>Griffin full vs loquat</t>
        </is>
      </c>
    </row>
    <row r="6">
      <c r="A6" t="inlineStr">
        <is>
          <t>B5 griffin</t>
        </is>
      </c>
      <c r="B6" t="inlineStr">
        <is>
          <t>loquat_only_aurora/loquat_sig_verify</t>
        </is>
      </c>
      <c r="C6" t="inlineStr">
        <is>
          <t>-</t>
        </is>
      </c>
      <c r="D6" t="n">
        <v>8408080</v>
      </c>
      <c r="E6" t="n">
        <v>8211</v>
      </c>
      <c r="F6" t="inlineStr">
        <is>
          <t>Griffin full vs loquat</t>
        </is>
      </c>
    </row>
    <row r="7">
      <c r="A7" t="inlineStr">
        <is>
          <t>B7 aurora_rerun</t>
        </is>
      </c>
      <c r="B7" t="inlineStr">
        <is>
          <t>pp2_aurora/k=2_lr=0_rev20</t>
        </is>
      </c>
      <c r="C7" t="n">
        <v>996523</v>
      </c>
      <c r="D7" t="n">
        <v>33573372</v>
      </c>
      <c r="E7" t="n">
        <v>32786.5</v>
      </c>
      <c r="F7" t="inlineStr">
        <is>
          <t>PP2 Aurora sweep</t>
        </is>
      </c>
    </row>
    <row r="8">
      <c r="A8" t="inlineStr">
        <is>
          <t>B7 aurora_rerun</t>
        </is>
      </c>
      <c r="B8" t="inlineStr">
        <is>
          <t>pp3_aurora/k=1_lr=0_rev20_policy</t>
        </is>
      </c>
      <c r="C8" t="n">
        <v>749392</v>
      </c>
      <c r="D8" t="n">
        <v>33573123</v>
      </c>
      <c r="E8" t="n">
        <v>32786.3</v>
      </c>
      <c r="F8" t="inlineStr">
        <is>
          <t>PP2 Aurora sweep</t>
        </is>
      </c>
    </row>
    <row r="9">
      <c r="A9" t="inlineStr">
        <is>
          <t>B7 aurora_rerun</t>
        </is>
      </c>
      <c r="B9" t="inlineStr">
        <is>
          <t>pp2_combined/k=2_lr=0_rev20</t>
        </is>
      </c>
      <c r="C9" t="n">
        <v>996821</v>
      </c>
      <c r="D9" t="n">
        <v>33574454</v>
      </c>
      <c r="E9" t="n">
        <v>32787.6</v>
      </c>
      <c r="F9" t="inlineStr">
        <is>
          <t>PP2 Aurora sweep</t>
        </is>
      </c>
    </row>
    <row r="10">
      <c r="A10" t="inlineStr">
        <is>
          <t>B8 libiop</t>
        </is>
      </c>
      <c r="B10" t="inlineStr">
        <is>
          <t>B8 l80_nozk</t>
        </is>
      </c>
      <c r="C10" t="n">
        <v>262144</v>
      </c>
      <c r="D10" t="n">
        <v>640448</v>
      </c>
      <c r="E10" t="n">
        <v>625.4</v>
      </c>
      <c r="F10" t="inlineStr">
        <is>
          <t>BDEC Aurora λ=80, padded 2^18</t>
        </is>
      </c>
    </row>
    <row r="11">
      <c r="A11" t="inlineStr">
        <is>
          <t>B8 libiop</t>
        </is>
      </c>
      <c r="B11" t="inlineStr">
        <is>
          <t>B8 l128_nozk</t>
        </is>
      </c>
      <c r="C11" t="n">
        <v>262144</v>
      </c>
      <c r="D11" t="n">
        <v>640448</v>
      </c>
      <c r="E11" t="n">
        <v>625.4</v>
      </c>
      <c r="F11" t="inlineStr">
        <is>
          <t>BDEC Aurora λ=128, padded 2^18</t>
        </is>
      </c>
    </row>
    <row r="12">
      <c r="A12" t="inlineStr">
        <is>
          <t>B8 libiop</t>
        </is>
      </c>
      <c r="B12" t="inlineStr">
        <is>
          <t>B8 l128_zk</t>
        </is>
      </c>
      <c r="C12" t="n">
        <v>262144</v>
      </c>
      <c r="D12" t="n">
        <v>802144</v>
      </c>
      <c r="E12" t="n">
        <v>783.3</v>
      </c>
      <c r="F12" t="inlineStr">
        <is>
          <t>BDEC Aurora λ=128 ZK, padded 2^18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6" customWidth="1" style="28" min="1" max="1"/>
    <col width="19" customWidth="1" style="28" min="2" max="2"/>
    <col width="17" customWidth="1" style="28" min="3" max="3"/>
    <col width="27" customWidth="1" style="28" min="4" max="4"/>
    <col width="29" customWidth="1" style="28" min="5" max="5"/>
    <col width="46" customWidth="1" style="28" min="6" max="6"/>
  </cols>
  <sheetData>
    <row r="1">
      <c r="A1" s="51" t="inlineStr">
        <is>
          <t>Generated: 2026-04-16 14:38 — M5 Pro  (B5 breakdown_phase: Griffin cost per phase inside build_loquat_r1cs, k=2, m=64, rev_depth=20)</t>
        </is>
      </c>
    </row>
    <row r="2">
      <c r="A2" s="52" t="inlineStr">
        <is>
          <t>phase</t>
        </is>
      </c>
      <c r="B2" s="52" t="inlineStr">
        <is>
          <t>delta_constraints</t>
        </is>
      </c>
      <c r="C2" s="52" t="inlineStr">
        <is>
          <t>delta_variables</t>
        </is>
      </c>
      <c r="D2" s="52" t="inlineStr">
        <is>
          <t>fraction_of_loquat_verify</t>
        </is>
      </c>
      <c r="E2" s="52" t="inlineStr">
        <is>
          <t>fraction_of_full_credential</t>
        </is>
      </c>
      <c r="F2" s="52" t="inlineStr">
        <is>
          <t>notes</t>
        </is>
      </c>
    </row>
    <row r="3">
      <c r="A3" t="inlineStr">
        <is>
          <t>message commitment</t>
        </is>
      </c>
      <c r="B3" t="n">
        <v>1595</v>
      </c>
      <c r="C3" t="n">
        <v>953</v>
      </c>
      <c r="D3" s="53" t="n">
        <v>0.006469695863450883</v>
      </c>
      <c r="E3" s="53" t="n">
        <v>0.00160056516507898</v>
      </c>
      <c r="F3" t="inlineStr">
        <is>
          <t>Griffin hash of signed message → 32-byte digest</t>
        </is>
      </c>
    </row>
    <row r="4">
      <c r="A4" t="inlineStr">
        <is>
          <t>t-values allocated</t>
        </is>
      </c>
      <c r="B4" t="n">
        <v>0</v>
      </c>
      <c r="C4" t="n">
        <v>66</v>
      </c>
      <c r="D4" s="53" t="n">
        <v>0</v>
      </c>
      <c r="E4" s="53" t="n">
        <v>0</v>
      </c>
      <c r="F4" t="inlineStr">
        <is>
          <t>witness allocation only, no constraints</t>
        </is>
      </c>
    </row>
    <row r="5">
      <c r="A5" t="inlineStr">
        <is>
          <t>quadratic residuosity</t>
        </is>
      </c>
      <c r="B5" t="n">
        <v>640</v>
      </c>
      <c r="C5" t="n">
        <v>704</v>
      </c>
      <c r="D5" s="53" t="n">
        <v>0.002595990816682486</v>
      </c>
      <c r="E5" s="53" t="n">
        <v>0.0006422330442950138</v>
      </c>
      <c r="F5" t="inlineStr">
        <is>
          <t>Legendre-symbol style QR check per Loquat §4.3</t>
        </is>
      </c>
    </row>
    <row r="6">
      <c r="A6" t="inlineStr">
        <is>
          <t>transcript binding</t>
        </is>
      </c>
      <c r="B6" t="n">
        <v>121517</v>
      </c>
      <c r="C6" t="n">
        <v>121248</v>
      </c>
      <c r="D6" s="53" t="n">
        <v>0.4929015876106339</v>
      </c>
      <c r="E6" s="53" t="n">
        <v>0.1219409888181206</v>
      </c>
      <c r="F6" t="inlineStr">
        <is>
          <t>Fiat-Shamir: Griffin re-absorbs every prover message</t>
        </is>
      </c>
    </row>
    <row r="7">
      <c r="A7" t="inlineStr">
        <is>
          <t>sumcheck</t>
        </is>
      </c>
      <c r="B7" t="n">
        <v>30</v>
      </c>
      <c r="C7" t="n">
        <v>20</v>
      </c>
      <c r="D7" s="53" t="n">
        <v>0.0001216870695319915</v>
      </c>
      <c r="E7" s="53" t="n">
        <v>3.010467395132877e-05</v>
      </c>
      <c r="F7" t="inlineStr">
        <is>
          <t>per-round arithmetic (no hashing)</t>
        </is>
      </c>
    </row>
    <row r="8">
      <c r="A8" t="inlineStr">
        <is>
          <t>LDT queries</t>
        </is>
      </c>
      <c r="B8" t="n">
        <v>122752</v>
      </c>
      <c r="C8" t="n">
        <v>124340</v>
      </c>
      <c r="D8" s="53" t="n">
        <v>0.4979110386397008</v>
      </c>
      <c r="E8" s="53" t="n">
        <v>0.1231802978957836</v>
      </c>
      <c r="F8" t="inlineStr">
        <is>
          <t>Griffin Merkle auth paths for every FRI query</t>
        </is>
      </c>
    </row>
    <row r="9">
      <c r="A9" s="38" t="inlineStr">
        <is>
          <t>TOTAL (Loquat sig-verify)</t>
        </is>
      </c>
      <c r="B9" s="38" t="n">
        <v>246534</v>
      </c>
      <c r="D9" s="54" t="n">
        <v>1</v>
      </c>
      <c r="E9" s="53" t="n">
        <v>0.2473941895972296</v>
      </c>
      <c r="F9" t="inlineStr">
        <is>
          <t>sum of phase Δc above</t>
        </is>
      </c>
    </row>
    <row r="10">
      <c r="A10" s="38" t="inlineStr">
        <is>
          <t>TOTAL (Full credential, k=2)</t>
        </is>
      </c>
      <c r="B10" s="38" t="n">
        <v>996523</v>
      </c>
      <c r="E10" s="54" t="n">
        <v>1</v>
      </c>
      <c r="F10" t="inlineStr">
        <is>
          <t>from full_credential sample (B5)</t>
        </is>
      </c>
    </row>
    <row r="11"/>
    <row r="12">
      <c r="A12" s="51" t="inlineStr">
        <is>
          <t>Derived: Griffin vs non-Griffin share</t>
        </is>
      </c>
    </row>
    <row r="13">
      <c r="A13" t="inlineStr">
        <is>
          <t>Griffin-heavy phases (msg+transcript+LDT) Δc</t>
        </is>
      </c>
      <c r="B13" t="n">
        <v>245864</v>
      </c>
    </row>
    <row r="14">
      <c r="A14" t="inlineStr">
        <is>
          <t>Non-Griffin phases Δc</t>
        </is>
      </c>
      <c r="B14" t="n">
        <v>670</v>
      </c>
    </row>
    <row r="15">
      <c r="A15" t="inlineStr">
        <is>
          <t>Griffin share of Loquat sig-verify</t>
        </is>
      </c>
      <c r="B15" t="inlineStr">
        <is>
          <t>99.73%</t>
        </is>
      </c>
    </row>
    <row r="16">
      <c r="A16" t="inlineStr">
        <is>
          <t>Griffin share of full credential</t>
        </is>
      </c>
      <c r="B16" t="inlineStr">
        <is>
          <t>24.67%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6" customWidth="1" style="28" min="1" max="1"/>
    <col width="21" customWidth="1" style="28" min="2" max="2"/>
    <col width="18" customWidth="1" style="28" min="3" max="3"/>
    <col width="12" customWidth="1" style="28" min="4" max="4"/>
    <col width="10" customWidth="1" style="28" min="5" max="5"/>
    <col width="12" customWidth="1" style="28" min="6" max="6"/>
    <col width="10" customWidth="1" style="28" min="7" max="7"/>
  </cols>
  <sheetData>
    <row r="1">
      <c r="A1" s="51" t="inlineStr">
        <is>
          <t>Generated: 2026-04-16 14:38 — M5 Pro  (B5 griffin: full_credential vs loquat_only_aurora)</t>
        </is>
      </c>
    </row>
    <row r="2">
      <c r="A2" s="52" t="inlineStr">
        <is>
          <t>variant</t>
        </is>
      </c>
      <c r="B2" s="52" t="inlineStr">
        <is>
          <t>config_key</t>
        </is>
      </c>
      <c r="C2" s="52" t="inlineStr">
        <is>
          <t>metric</t>
        </is>
      </c>
      <c r="D2" s="52" t="inlineStr">
        <is>
          <t>mean</t>
        </is>
      </c>
      <c r="E2" s="52" t="inlineStr">
        <is>
          <t>std_dev</t>
        </is>
      </c>
      <c r="F2" s="52" t="inlineStr">
        <is>
          <t>median</t>
        </is>
      </c>
      <c r="G2" s="52" t="inlineStr">
        <is>
          <t>n_runs</t>
        </is>
      </c>
    </row>
    <row r="3">
      <c r="A3" t="inlineStr">
        <is>
          <t>full_credential</t>
        </is>
      </c>
      <c r="B3" t="inlineStr">
        <is>
          <t>full_k=2_m=64_rev20</t>
        </is>
      </c>
      <c r="C3" t="inlineStr">
        <is>
          <t>constraint_count</t>
        </is>
      </c>
      <c r="D3" t="n">
        <v>996523</v>
      </c>
      <c r="E3" t="n">
        <v>0</v>
      </c>
      <c r="F3" t="n">
        <v>996523</v>
      </c>
      <c r="G3" t="n">
        <v>10</v>
      </c>
    </row>
    <row r="4">
      <c r="A4" t="inlineStr">
        <is>
          <t>full_credential</t>
        </is>
      </c>
      <c r="B4" t="inlineStr">
        <is>
          <t>full_k=2_m=64_rev20</t>
        </is>
      </c>
      <c r="C4" t="inlineStr">
        <is>
          <t>prove_ms</t>
        </is>
      </c>
      <c r="D4" t="n">
        <v>79773.61</v>
      </c>
      <c r="E4" t="n">
        <v>596.77</v>
      </c>
      <c r="F4" t="n">
        <v>79633.31</v>
      </c>
      <c r="G4" t="n">
        <v>9</v>
      </c>
    </row>
    <row r="5">
      <c r="A5" t="inlineStr">
        <is>
          <t>full_credential</t>
        </is>
      </c>
      <c r="B5" t="inlineStr">
        <is>
          <t>full_k=2_m=64_rev20</t>
        </is>
      </c>
      <c r="C5" t="inlineStr">
        <is>
          <t>verify_ms</t>
        </is>
      </c>
      <c r="D5" t="n">
        <v>49566.27</v>
      </c>
      <c r="E5" t="n">
        <v>430.58</v>
      </c>
      <c r="F5" t="n">
        <v>49534.35</v>
      </c>
      <c r="G5" t="n">
        <v>9</v>
      </c>
    </row>
    <row r="6">
      <c r="A6" t="inlineStr">
        <is>
          <t>full_credential</t>
        </is>
      </c>
      <c r="B6" t="inlineStr">
        <is>
          <t>full_k=2_m=64_rev20</t>
        </is>
      </c>
      <c r="C6" t="inlineStr">
        <is>
          <t>proof_bytes</t>
        </is>
      </c>
      <c r="D6" t="n">
        <v>33573456</v>
      </c>
      <c r="E6" t="n">
        <v>1897.25</v>
      </c>
      <c r="F6" t="n">
        <v>33573456</v>
      </c>
      <c r="G6" t="n">
        <v>10</v>
      </c>
    </row>
    <row r="7">
      <c r="A7" t="inlineStr">
        <is>
          <t>loquat_only_aurora</t>
        </is>
      </c>
      <c r="B7" t="inlineStr">
        <is>
          <t>loquat_sig_verify</t>
        </is>
      </c>
      <c r="C7" t="inlineStr">
        <is>
          <t>prove_ms</t>
        </is>
      </c>
      <c r="D7" t="n">
        <v>13126.08</v>
      </c>
      <c r="E7" t="n">
        <v>30.71</v>
      </c>
      <c r="F7" t="n">
        <v>13127.75</v>
      </c>
      <c r="G7" t="n">
        <v>7</v>
      </c>
    </row>
    <row r="8">
      <c r="A8" t="inlineStr">
        <is>
          <t>loquat_only_aurora</t>
        </is>
      </c>
      <c r="B8" t="inlineStr">
        <is>
          <t>loquat_sig_verify</t>
        </is>
      </c>
      <c r="C8" t="inlineStr">
        <is>
          <t>verify_ms</t>
        </is>
      </c>
      <c r="D8" t="n">
        <v>6222.69</v>
      </c>
      <c r="E8" t="n">
        <v>39.11</v>
      </c>
      <c r="F8" t="n">
        <v>6213.54</v>
      </c>
      <c r="G8" t="n">
        <v>9</v>
      </c>
    </row>
    <row r="9">
      <c r="A9" t="inlineStr">
        <is>
          <t>loquat_only_aurora</t>
        </is>
      </c>
      <c r="B9" t="inlineStr">
        <is>
          <t>loquat_sig_verify</t>
        </is>
      </c>
      <c r="C9" t="inlineStr">
        <is>
          <t>proof_bytes</t>
        </is>
      </c>
      <c r="D9" t="n">
        <v>8408080</v>
      </c>
      <c r="E9" t="n">
        <v>0</v>
      </c>
      <c r="F9" t="n">
        <v>8408080</v>
      </c>
      <c r="G9" t="n">
        <v>10</v>
      </c>
    </row>
    <row r="10"/>
    <row r="11">
      <c r="A11" s="51" t="inlineStr">
        <is>
          <t>Derived: coarse infrastructure attribution</t>
        </is>
      </c>
    </row>
    <row r="12">
      <c r="A12" t="inlineStr">
        <is>
          <t>full_credential prove_ms</t>
        </is>
      </c>
      <c r="B12" t="n">
        <v>79773.60000000001</v>
      </c>
    </row>
    <row r="13">
      <c r="A13" t="inlineStr">
        <is>
          <t>loquat_only prove_ms</t>
        </is>
      </c>
      <c r="B13" t="n">
        <v>13126.1</v>
      </c>
    </row>
    <row r="14">
      <c r="A14" t="inlineStr">
        <is>
          <t>infrastructure overhead (×)</t>
        </is>
      </c>
      <c r="B14" t="n">
        <v>6.08</v>
      </c>
    </row>
    <row r="15">
      <c r="A15" t="inlineStr">
        <is>
          <t>infrastructure share (%)</t>
        </is>
      </c>
      <c r="B15" t="n">
        <v>83.5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6" customWidth="1" style="28" min="1" max="1"/>
    <col width="18" customWidth="1" style="28" min="2" max="2"/>
    <col width="12" customWidth="1" style="28" min="3" max="3"/>
    <col width="13" customWidth="1" style="28" min="4" max="4"/>
    <col width="13" customWidth="1" style="28" min="5" max="5"/>
    <col width="14" customWidth="1" style="28" min="6" max="6"/>
    <col width="15" customWidth="1" style="28" min="7" max="7"/>
    <col width="10" customWidth="1" style="28" min="8" max="8"/>
    <col width="15" customWidth="1" style="28" min="9" max="9"/>
    <col width="16" customWidth="1" style="28" min="10" max="10"/>
  </cols>
  <sheetData>
    <row r="1">
      <c r="A1" s="51" t="inlineStr">
        <is>
          <t>Generated: 2026-04-16 14:38 — M5 Pro  (B9 pp3_policy: prove/verify cost vs policy predicate set; k=2, lr=0, rev_depth=20, 10 measured runs)</t>
        </is>
      </c>
    </row>
    <row r="2">
      <c r="A2" s="52" t="inlineStr">
        <is>
          <t>policy</t>
        </is>
      </c>
      <c r="B2" s="52" t="inlineStr">
        <is>
          <t>constraint_count</t>
        </is>
      </c>
      <c r="C2" s="52" t="inlineStr">
        <is>
          <t>indexer_ms</t>
        </is>
      </c>
      <c r="D2" s="52" t="inlineStr">
        <is>
          <t>prove_ms</t>
        </is>
      </c>
      <c r="E2" s="52" t="inlineStr">
        <is>
          <t>verify_ms</t>
        </is>
      </c>
      <c r="F2" s="52" t="inlineStr">
        <is>
          <t>proof_bytes</t>
        </is>
      </c>
      <c r="G2" s="52" t="inlineStr">
        <is>
          <t>proof_KiB</t>
        </is>
      </c>
      <c r="H2" s="52" t="inlineStr">
        <is>
          <t>n_runs</t>
        </is>
      </c>
      <c r="I2" s="52" t="inlineStr">
        <is>
          <t>prove_std_dev</t>
        </is>
      </c>
      <c r="J2" s="52" t="inlineStr">
        <is>
          <t>verify_std_dev</t>
        </is>
      </c>
    </row>
    <row r="3">
      <c r="A3" t="inlineStr">
        <is>
          <t>none</t>
        </is>
      </c>
      <c r="B3" t="n">
        <v>996523</v>
      </c>
      <c r="C3" t="n">
        <v>54677.04</v>
      </c>
      <c r="D3" t="n">
        <v>79586.31</v>
      </c>
      <c r="E3" t="n">
        <v>49647.14</v>
      </c>
      <c r="F3" t="n">
        <v>33574121</v>
      </c>
      <c r="G3" t="n">
        <v>32787.2</v>
      </c>
      <c r="H3" t="n">
        <v>10</v>
      </c>
      <c r="I3" t="n">
        <v>484.43</v>
      </c>
      <c r="J3" t="n">
        <v>364.32</v>
      </c>
    </row>
    <row r="4">
      <c r="A4" t="inlineStr">
        <is>
          <t>gpa</t>
        </is>
      </c>
      <c r="B4" t="n">
        <v>996814</v>
      </c>
      <c r="C4" t="n">
        <v>55067.22</v>
      </c>
      <c r="D4" t="n">
        <v>80682.48</v>
      </c>
      <c r="E4" t="n">
        <v>49762.33</v>
      </c>
      <c r="F4" t="n">
        <v>33573040</v>
      </c>
      <c r="G4" t="n">
        <v>32786.2</v>
      </c>
      <c r="H4" t="n">
        <v>10</v>
      </c>
      <c r="I4" t="n">
        <v>701.95</v>
      </c>
      <c r="J4" t="n">
        <v>327.07</v>
      </c>
    </row>
    <row r="5">
      <c r="A5" t="inlineStr">
        <is>
          <t>gpa_degree</t>
        </is>
      </c>
      <c r="B5" t="n">
        <v>996821</v>
      </c>
      <c r="C5" t="n">
        <v>55445.82</v>
      </c>
      <c r="D5" t="n">
        <v>80539.73</v>
      </c>
      <c r="E5" t="n">
        <v>49920.37</v>
      </c>
      <c r="F5" t="n">
        <v>33572707</v>
      </c>
      <c r="G5" t="n">
        <v>32785.8</v>
      </c>
      <c r="H5" t="n">
        <v>9</v>
      </c>
      <c r="I5" t="n">
        <v>447.39</v>
      </c>
      <c r="J5" t="n">
        <v>366.08</v>
      </c>
    </row>
    <row r="6"/>
    <row r="7">
      <c r="A7" s="51" t="inlineStr">
        <is>
          <t>Derived: overhead vs pol=none</t>
        </is>
      </c>
    </row>
    <row r="8">
      <c r="A8" s="52" t="inlineStr">
        <is>
          <t>policy</t>
        </is>
      </c>
      <c r="B8" s="52" t="inlineStr">
        <is>
          <t>Δ constraints</t>
        </is>
      </c>
      <c r="C8" s="52" t="inlineStr">
        <is>
          <t>Δ prove_ms</t>
        </is>
      </c>
      <c r="D8" s="52" t="inlineStr">
        <is>
          <t>Δ prove (%)</t>
        </is>
      </c>
      <c r="E8" s="52" t="inlineStr">
        <is>
          <t>Δ verify_ms</t>
        </is>
      </c>
      <c r="F8" s="52" t="inlineStr">
        <is>
          <t>Δ verify (%)</t>
        </is>
      </c>
      <c r="G8" s="52" t="inlineStr">
        <is>
          <t>Δ proof_bytes</t>
        </is>
      </c>
    </row>
    <row r="9">
      <c r="A9" t="inlineStr">
        <is>
          <t>gpa</t>
        </is>
      </c>
      <c r="B9" t="n">
        <v>291</v>
      </c>
      <c r="C9" t="n">
        <v>1096.18</v>
      </c>
      <c r="D9" t="n">
        <v>1.377</v>
      </c>
      <c r="E9" t="n">
        <v>115.19</v>
      </c>
      <c r="F9" t="n">
        <v>0.232</v>
      </c>
      <c r="G9" t="n">
        <v>-1081</v>
      </c>
    </row>
    <row r="10">
      <c r="A10" t="inlineStr">
        <is>
          <t>gpa_degree</t>
        </is>
      </c>
      <c r="B10" t="n">
        <v>298</v>
      </c>
      <c r="C10" t="n">
        <v>953.42</v>
      </c>
      <c r="D10" t="n">
        <v>1.198</v>
      </c>
      <c r="E10" t="n">
        <v>273.24</v>
      </c>
      <c r="F10" t="n">
        <v>0.55</v>
      </c>
      <c r="G10" t="n">
        <v>-1414</v>
      </c>
    </row>
    <row r="11"/>
    <row r="12">
      <c r="A12" s="55" t="inlineStr">
        <is>
          <t>Note: Δ proof_bytes is near zero because Aurora proof length is pinned to the next power of two (2^20 for 10^6 constraints); policy deltas of &lt;300 constraints stay within the same power-of-two bucket.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2026-04-13T12:37:52Z</dcterms:created>
  <dcterms:modified xsi:type="dcterms:W3CDTF">2026-04-16T05:38:13Z</dcterms:modified>
  <cp:lastModifiedBy>Takumi Otsuka</cp:lastModifiedBy>
</cp:coreProperties>
</file>